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Portfolio\docs\"/>
    </mc:Choice>
  </mc:AlternateContent>
  <xr:revisionPtr revIDLastSave="0" documentId="13_ncr:1_{1893FBA1-7F76-4CD0-91AD-DBEDD2B39F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6" i="1" l="1"/>
  <c r="D226" i="1"/>
  <c r="B226" i="1" s="1"/>
  <c r="B227" i="1"/>
  <c r="C227" i="1"/>
  <c r="D227" i="1"/>
  <c r="B228" i="1"/>
  <c r="C228" i="1"/>
  <c r="D228" i="1"/>
  <c r="C229" i="1"/>
  <c r="D229" i="1"/>
  <c r="B229" i="1" s="1"/>
  <c r="C230" i="1"/>
  <c r="D230" i="1"/>
  <c r="B230" i="1" s="1"/>
  <c r="B231" i="1"/>
  <c r="C231" i="1"/>
  <c r="D231" i="1"/>
  <c r="B232" i="1"/>
  <c r="C232" i="1"/>
  <c r="D232" i="1"/>
  <c r="C233" i="1"/>
  <c r="D233" i="1"/>
  <c r="B233" i="1" s="1"/>
  <c r="C234" i="1"/>
  <c r="D234" i="1"/>
  <c r="B234" i="1" s="1"/>
  <c r="C235" i="1"/>
  <c r="D235" i="1"/>
  <c r="B235" i="1" s="1"/>
  <c r="B236" i="1"/>
  <c r="C236" i="1"/>
  <c r="D236" i="1"/>
  <c r="C237" i="1"/>
  <c r="D237" i="1"/>
  <c r="B237" i="1" s="1"/>
  <c r="F226" i="1"/>
  <c r="F227" i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F31" i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C3" i="1"/>
  <c r="D3" i="1"/>
  <c r="D4" i="1"/>
  <c r="D5" i="1"/>
  <c r="D6" i="1"/>
  <c r="D7" i="1"/>
  <c r="B7" i="1" s="1"/>
  <c r="D8" i="1"/>
  <c r="B8" i="1" s="1"/>
  <c r="D9" i="1"/>
  <c r="B9" i="1" s="1"/>
  <c r="D10" i="1"/>
  <c r="B10" i="1" s="1"/>
  <c r="D11" i="1"/>
  <c r="B11" i="1" s="1"/>
  <c r="D12" i="1"/>
  <c r="B12" i="1" s="1"/>
  <c r="D13" i="1"/>
  <c r="B13" i="1" s="1"/>
  <c r="D14" i="1"/>
  <c r="D15" i="1"/>
  <c r="D16" i="1"/>
  <c r="D17" i="1"/>
  <c r="D18" i="1"/>
  <c r="D19" i="1"/>
  <c r="D20" i="1"/>
  <c r="D21" i="1"/>
  <c r="D22" i="1"/>
  <c r="B22" i="1" s="1"/>
  <c r="D23" i="1"/>
  <c r="B23" i="1" s="1"/>
  <c r="D24" i="1"/>
  <c r="B24" i="1" s="1"/>
  <c r="D25" i="1"/>
  <c r="B25" i="1" s="1"/>
  <c r="D26" i="1"/>
  <c r="B26" i="1" s="1"/>
  <c r="D27" i="1"/>
  <c r="B27" i="1" s="1"/>
  <c r="D28" i="1"/>
  <c r="B28" i="1" s="1"/>
  <c r="D29" i="1"/>
  <c r="B29" i="1" s="1"/>
  <c r="D30" i="1"/>
  <c r="B30" i="1" s="1"/>
  <c r="D2" i="1"/>
  <c r="C166" i="1"/>
  <c r="C167" i="1"/>
  <c r="C168" i="1"/>
  <c r="C169" i="1"/>
  <c r="C170" i="1"/>
  <c r="C171" i="1"/>
  <c r="C172" i="1"/>
  <c r="C173" i="1"/>
  <c r="C174" i="1"/>
  <c r="C175" i="1"/>
  <c r="C165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4" i="1"/>
  <c r="C5" i="1"/>
  <c r="C6" i="1"/>
  <c r="C7" i="1"/>
  <c r="C8" i="1"/>
  <c r="C9" i="1"/>
  <c r="C10" i="1"/>
  <c r="B6" i="1" l="1"/>
  <c r="B21" i="1"/>
  <c r="B20" i="1"/>
  <c r="B19" i="1"/>
  <c r="D31" i="1"/>
  <c r="B31" i="1" s="1"/>
  <c r="B15" i="1"/>
  <c r="B5" i="1"/>
  <c r="B4" i="1"/>
  <c r="B3" i="1"/>
  <c r="B18" i="1"/>
  <c r="B17" i="1"/>
  <c r="B16" i="1"/>
  <c r="B14" i="1"/>
  <c r="D33" i="1"/>
  <c r="B33" i="1" s="1"/>
  <c r="D32" i="1"/>
  <c r="B32" i="1" s="1"/>
  <c r="D34" i="1" l="1"/>
  <c r="B34" i="1" s="1"/>
  <c r="D35" i="1" l="1"/>
  <c r="B35" i="1" s="1"/>
  <c r="D36" i="1" l="1"/>
  <c r="B36" i="1" s="1"/>
  <c r="D37" i="1" l="1"/>
  <c r="B37" i="1" s="1"/>
  <c r="D38" i="1" l="1"/>
  <c r="B38" i="1" s="1"/>
  <c r="D39" i="1" l="1"/>
  <c r="B39" i="1" s="1"/>
  <c r="D40" i="1" l="1"/>
  <c r="B40" i="1" s="1"/>
  <c r="D41" i="1" l="1"/>
  <c r="B41" i="1" s="1"/>
  <c r="D42" i="1" l="1"/>
  <c r="B42" i="1" s="1"/>
  <c r="D43" i="1" l="1"/>
  <c r="B43" i="1" s="1"/>
  <c r="D44" i="1" l="1"/>
  <c r="B44" i="1" s="1"/>
  <c r="D45" i="1" l="1"/>
  <c r="B45" i="1" s="1"/>
  <c r="D46" i="1" l="1"/>
  <c r="B46" i="1" s="1"/>
  <c r="D47" i="1" l="1"/>
  <c r="B47" i="1" s="1"/>
  <c r="D48" i="1" l="1"/>
  <c r="B48" i="1" s="1"/>
  <c r="D49" i="1" l="1"/>
  <c r="B49" i="1" s="1"/>
  <c r="D50" i="1" l="1"/>
  <c r="B50" i="1" s="1"/>
  <c r="D51" i="1" l="1"/>
  <c r="B51" i="1" s="1"/>
  <c r="D52" i="1" l="1"/>
  <c r="B52" i="1" s="1"/>
  <c r="D53" i="1" l="1"/>
  <c r="B53" i="1" s="1"/>
  <c r="D54" i="1" l="1"/>
  <c r="B54" i="1" s="1"/>
  <c r="D55" i="1" l="1"/>
  <c r="B55" i="1" s="1"/>
  <c r="D56" i="1" l="1"/>
  <c r="B56" i="1" s="1"/>
  <c r="D57" i="1" l="1"/>
  <c r="B57" i="1" s="1"/>
  <c r="D58" i="1" l="1"/>
  <c r="B58" i="1" s="1"/>
  <c r="D59" i="1" l="1"/>
  <c r="B59" i="1" s="1"/>
  <c r="D60" i="1" l="1"/>
  <c r="B60" i="1" s="1"/>
  <c r="D61" i="1" l="1"/>
  <c r="B61" i="1" s="1"/>
  <c r="D62" i="1" l="1"/>
  <c r="B62" i="1" s="1"/>
  <c r="D63" i="1" l="1"/>
  <c r="B63" i="1" s="1"/>
  <c r="D64" i="1" l="1"/>
  <c r="B64" i="1" s="1"/>
  <c r="D65" i="1" l="1"/>
  <c r="B65" i="1" s="1"/>
  <c r="D66" i="1" l="1"/>
  <c r="B66" i="1" s="1"/>
  <c r="D67" i="1" l="1"/>
  <c r="B67" i="1" s="1"/>
  <c r="D68" i="1" l="1"/>
  <c r="B68" i="1" s="1"/>
  <c r="D69" i="1" l="1"/>
  <c r="B69" i="1" s="1"/>
  <c r="D70" i="1" l="1"/>
  <c r="B70" i="1" s="1"/>
  <c r="D71" i="1" l="1"/>
  <c r="B71" i="1" s="1"/>
  <c r="D72" i="1" l="1"/>
  <c r="B72" i="1" s="1"/>
  <c r="D73" i="1" l="1"/>
  <c r="B73" i="1" s="1"/>
  <c r="D74" i="1" l="1"/>
  <c r="B74" i="1" s="1"/>
  <c r="D75" i="1" l="1"/>
  <c r="B75" i="1" s="1"/>
  <c r="D76" i="1" l="1"/>
  <c r="B76" i="1" s="1"/>
  <c r="D77" i="1" l="1"/>
  <c r="B77" i="1" s="1"/>
  <c r="D78" i="1" l="1"/>
  <c r="B78" i="1" s="1"/>
  <c r="D79" i="1" l="1"/>
  <c r="B79" i="1" s="1"/>
  <c r="D80" i="1" l="1"/>
  <c r="B80" i="1" s="1"/>
  <c r="D81" i="1" l="1"/>
  <c r="B81" i="1" s="1"/>
  <c r="D82" i="1" l="1"/>
  <c r="B82" i="1" s="1"/>
  <c r="D83" i="1" l="1"/>
  <c r="B83" i="1" s="1"/>
  <c r="D84" i="1" l="1"/>
  <c r="B84" i="1" s="1"/>
  <c r="D85" i="1" l="1"/>
  <c r="B85" i="1" s="1"/>
  <c r="D86" i="1" l="1"/>
  <c r="B86" i="1" s="1"/>
  <c r="D87" i="1" l="1"/>
  <c r="B87" i="1" s="1"/>
  <c r="D88" i="1" l="1"/>
  <c r="B88" i="1" s="1"/>
  <c r="D89" i="1" l="1"/>
  <c r="B89" i="1" s="1"/>
  <c r="D90" i="1" l="1"/>
  <c r="B90" i="1" s="1"/>
  <c r="D91" i="1" l="1"/>
  <c r="B91" i="1" s="1"/>
  <c r="D92" i="1" l="1"/>
  <c r="B92" i="1" s="1"/>
  <c r="D93" i="1" l="1"/>
  <c r="B93" i="1" s="1"/>
  <c r="D94" i="1" l="1"/>
  <c r="B94" i="1" s="1"/>
  <c r="D95" i="1" l="1"/>
  <c r="B95" i="1" s="1"/>
  <c r="D96" i="1" l="1"/>
  <c r="B96" i="1" s="1"/>
  <c r="D97" i="1" l="1"/>
  <c r="B97" i="1" s="1"/>
  <c r="D98" i="1" l="1"/>
  <c r="B98" i="1" s="1"/>
  <c r="D99" i="1" l="1"/>
  <c r="B99" i="1" s="1"/>
  <c r="D100" i="1" l="1"/>
  <c r="B100" i="1" s="1"/>
  <c r="D101" i="1" l="1"/>
  <c r="B101" i="1" s="1"/>
  <c r="D102" i="1" l="1"/>
  <c r="B102" i="1" s="1"/>
  <c r="D103" i="1" l="1"/>
  <c r="B103" i="1" s="1"/>
  <c r="D104" i="1" l="1"/>
  <c r="B104" i="1" s="1"/>
  <c r="D105" i="1" l="1"/>
  <c r="B105" i="1" s="1"/>
  <c r="D106" i="1" l="1"/>
  <c r="B106" i="1" s="1"/>
  <c r="D107" i="1" l="1"/>
  <c r="B107" i="1" s="1"/>
  <c r="D108" i="1" l="1"/>
  <c r="B108" i="1" s="1"/>
  <c r="D109" i="1" l="1"/>
  <c r="B109" i="1" s="1"/>
  <c r="D110" i="1" l="1"/>
  <c r="B110" i="1" s="1"/>
  <c r="D111" i="1" l="1"/>
  <c r="B111" i="1" s="1"/>
  <c r="D112" i="1" l="1"/>
  <c r="B112" i="1" s="1"/>
  <c r="D113" i="1" l="1"/>
  <c r="B113" i="1" s="1"/>
  <c r="D114" i="1" l="1"/>
  <c r="B114" i="1" s="1"/>
  <c r="D115" i="1" l="1"/>
  <c r="B115" i="1" s="1"/>
  <c r="D116" i="1" l="1"/>
  <c r="B116" i="1" s="1"/>
  <c r="D117" i="1" l="1"/>
  <c r="B117" i="1" s="1"/>
  <c r="D118" i="1" l="1"/>
  <c r="B118" i="1" s="1"/>
  <c r="D119" i="1" l="1"/>
  <c r="B119" i="1" s="1"/>
  <c r="D120" i="1" l="1"/>
  <c r="B120" i="1" s="1"/>
  <c r="D121" i="1" l="1"/>
  <c r="B121" i="1" s="1"/>
  <c r="D122" i="1" l="1"/>
  <c r="B122" i="1" s="1"/>
  <c r="D123" i="1" l="1"/>
  <c r="B123" i="1" s="1"/>
  <c r="D124" i="1" l="1"/>
  <c r="B124" i="1" s="1"/>
  <c r="D125" i="1" l="1"/>
  <c r="B125" i="1" s="1"/>
  <c r="D126" i="1" l="1"/>
  <c r="B126" i="1" s="1"/>
  <c r="D127" i="1" l="1"/>
  <c r="B127" i="1" s="1"/>
  <c r="D128" i="1" l="1"/>
  <c r="B128" i="1" s="1"/>
  <c r="D129" i="1" l="1"/>
  <c r="B129" i="1" s="1"/>
  <c r="D130" i="1" l="1"/>
  <c r="B130" i="1" s="1"/>
  <c r="D131" i="1" l="1"/>
  <c r="B131" i="1" s="1"/>
  <c r="D132" i="1" l="1"/>
  <c r="B132" i="1" s="1"/>
  <c r="D133" i="1" l="1"/>
  <c r="B133" i="1" s="1"/>
  <c r="D134" i="1" l="1"/>
  <c r="B134" i="1" s="1"/>
  <c r="D135" i="1" l="1"/>
  <c r="B135" i="1" s="1"/>
  <c r="D136" i="1" l="1"/>
  <c r="B136" i="1" s="1"/>
  <c r="D137" i="1" l="1"/>
  <c r="B137" i="1" s="1"/>
  <c r="D138" i="1" l="1"/>
  <c r="B138" i="1" s="1"/>
  <c r="D139" i="1" l="1"/>
  <c r="B139" i="1" s="1"/>
  <c r="D140" i="1" l="1"/>
  <c r="B140" i="1" s="1"/>
  <c r="D141" i="1" l="1"/>
  <c r="B141" i="1" s="1"/>
  <c r="D142" i="1" l="1"/>
  <c r="B142" i="1" s="1"/>
  <c r="D143" i="1" l="1"/>
  <c r="B143" i="1" s="1"/>
  <c r="D144" i="1" l="1"/>
  <c r="B144" i="1" s="1"/>
  <c r="D145" i="1" l="1"/>
  <c r="B145" i="1" s="1"/>
  <c r="D146" i="1" l="1"/>
  <c r="B146" i="1" s="1"/>
  <c r="D147" i="1" l="1"/>
  <c r="B147" i="1" s="1"/>
  <c r="D148" i="1" l="1"/>
  <c r="B148" i="1" s="1"/>
  <c r="D149" i="1" l="1"/>
  <c r="B149" i="1" s="1"/>
  <c r="D150" i="1" l="1"/>
  <c r="B150" i="1" s="1"/>
  <c r="D151" i="1" l="1"/>
  <c r="B151" i="1" s="1"/>
  <c r="D152" i="1" l="1"/>
  <c r="B152" i="1" s="1"/>
  <c r="D153" i="1" l="1"/>
  <c r="B153" i="1" s="1"/>
  <c r="D154" i="1" l="1"/>
  <c r="B154" i="1" s="1"/>
  <c r="D155" i="1" l="1"/>
  <c r="B155" i="1" s="1"/>
  <c r="D156" i="1" l="1"/>
  <c r="B156" i="1" s="1"/>
  <c r="D157" i="1" l="1"/>
  <c r="B157" i="1" s="1"/>
  <c r="D158" i="1" l="1"/>
  <c r="B158" i="1" s="1"/>
  <c r="D159" i="1" l="1"/>
  <c r="B159" i="1" s="1"/>
  <c r="D160" i="1" l="1"/>
  <c r="B160" i="1" s="1"/>
  <c r="D161" i="1" l="1"/>
  <c r="B161" i="1" s="1"/>
  <c r="D162" i="1" l="1"/>
  <c r="B162" i="1" s="1"/>
  <c r="D163" i="1" l="1"/>
  <c r="B163" i="1" s="1"/>
  <c r="D164" i="1" l="1"/>
  <c r="B164" i="1" s="1"/>
  <c r="D165" i="1" l="1"/>
  <c r="B165" i="1" s="1"/>
  <c r="D166" i="1" l="1"/>
  <c r="B166" i="1" s="1"/>
  <c r="D167" i="1" l="1"/>
  <c r="B167" i="1" s="1"/>
  <c r="D168" i="1" l="1"/>
  <c r="B168" i="1" s="1"/>
  <c r="D169" i="1" l="1"/>
  <c r="B169" i="1" s="1"/>
  <c r="D170" i="1" l="1"/>
  <c r="B170" i="1" s="1"/>
  <c r="D171" i="1" l="1"/>
  <c r="B171" i="1" s="1"/>
  <c r="D172" i="1" l="1"/>
  <c r="B172" i="1" s="1"/>
  <c r="D173" i="1" l="1"/>
  <c r="B173" i="1" s="1"/>
  <c r="F174" i="1"/>
  <c r="F175" i="1" s="1"/>
  <c r="F176" i="1" s="1"/>
  <c r="F177" i="1" l="1"/>
  <c r="D176" i="1"/>
  <c r="B176" i="1" s="1"/>
  <c r="D174" i="1"/>
  <c r="B174" i="1" s="1"/>
  <c r="D175" i="1"/>
  <c r="B175" i="1" s="1"/>
  <c r="F178" i="1" l="1"/>
  <c r="D177" i="1"/>
  <c r="B177" i="1" s="1"/>
  <c r="F179" i="1" l="1"/>
  <c r="D178" i="1"/>
  <c r="B178" i="1" s="1"/>
  <c r="F180" i="1" l="1"/>
  <c r="D179" i="1"/>
  <c r="B179" i="1" s="1"/>
  <c r="F181" i="1" l="1"/>
  <c r="D180" i="1"/>
  <c r="B180" i="1" s="1"/>
  <c r="F182" i="1" l="1"/>
  <c r="D181" i="1"/>
  <c r="B181" i="1" s="1"/>
  <c r="D182" i="1" l="1"/>
  <c r="B182" i="1" s="1"/>
  <c r="F183" i="1"/>
  <c r="D183" i="1" l="1"/>
  <c r="B183" i="1" s="1"/>
  <c r="F184" i="1"/>
  <c r="D184" i="1" l="1"/>
  <c r="B184" i="1" s="1"/>
  <c r="F185" i="1"/>
  <c r="D185" i="1" l="1"/>
  <c r="B185" i="1" s="1"/>
  <c r="F186" i="1"/>
  <c r="D186" i="1" l="1"/>
  <c r="B186" i="1" s="1"/>
  <c r="F187" i="1"/>
  <c r="F188" i="1" l="1"/>
  <c r="D187" i="1"/>
  <c r="B187" i="1" s="1"/>
  <c r="D188" i="1" l="1"/>
  <c r="B188" i="1" s="1"/>
  <c r="F189" i="1"/>
  <c r="D189" i="1" l="1"/>
  <c r="B189" i="1" s="1"/>
  <c r="F190" i="1"/>
  <c r="D190" i="1" l="1"/>
  <c r="B190" i="1" s="1"/>
  <c r="F191" i="1"/>
  <c r="F192" i="1" l="1"/>
  <c r="D191" i="1"/>
  <c r="B191" i="1" s="1"/>
  <c r="F193" i="1" l="1"/>
  <c r="D192" i="1"/>
  <c r="B192" i="1" s="1"/>
  <c r="F194" i="1" l="1"/>
  <c r="D193" i="1"/>
  <c r="B193" i="1" s="1"/>
  <c r="F195" i="1" l="1"/>
  <c r="D194" i="1"/>
  <c r="B194" i="1" s="1"/>
  <c r="F196" i="1" l="1"/>
  <c r="D195" i="1"/>
  <c r="B195" i="1" s="1"/>
  <c r="D196" i="1" l="1"/>
  <c r="B196" i="1" s="1"/>
  <c r="F197" i="1"/>
  <c r="D197" i="1" l="1"/>
  <c r="B197" i="1" s="1"/>
  <c r="F198" i="1"/>
  <c r="D198" i="1" l="1"/>
  <c r="B198" i="1" s="1"/>
  <c r="F199" i="1"/>
  <c r="D199" i="1" l="1"/>
  <c r="B199" i="1" s="1"/>
  <c r="F200" i="1"/>
  <c r="F201" i="1" l="1"/>
  <c r="D200" i="1"/>
  <c r="B200" i="1" s="1"/>
  <c r="F202" i="1" l="1"/>
  <c r="D201" i="1"/>
  <c r="B201" i="1" s="1"/>
  <c r="F203" i="1" l="1"/>
  <c r="D202" i="1"/>
  <c r="B202" i="1" s="1"/>
  <c r="D203" i="1" l="1"/>
  <c r="B203" i="1" s="1"/>
  <c r="F204" i="1"/>
  <c r="D204" i="1" l="1"/>
  <c r="B204" i="1" s="1"/>
  <c r="F205" i="1"/>
  <c r="D205" i="1" l="1"/>
  <c r="B205" i="1" s="1"/>
  <c r="F206" i="1"/>
  <c r="D206" i="1" l="1"/>
  <c r="B206" i="1" s="1"/>
  <c r="F207" i="1"/>
  <c r="F208" i="1" l="1"/>
  <c r="D207" i="1"/>
  <c r="B207" i="1" s="1"/>
  <c r="F209" i="1" l="1"/>
  <c r="D208" i="1"/>
  <c r="B208" i="1" s="1"/>
  <c r="D209" i="1" l="1"/>
  <c r="B209" i="1" s="1"/>
  <c r="F210" i="1"/>
  <c r="F211" i="1" l="1"/>
  <c r="D210" i="1"/>
  <c r="B210" i="1" s="1"/>
  <c r="F212" i="1" l="1"/>
  <c r="D211" i="1"/>
  <c r="B211" i="1" s="1"/>
  <c r="F213" i="1" l="1"/>
  <c r="D212" i="1"/>
  <c r="B212" i="1" s="1"/>
  <c r="F214" i="1" l="1"/>
  <c r="D213" i="1"/>
  <c r="B213" i="1" s="1"/>
  <c r="F215" i="1" l="1"/>
  <c r="D214" i="1"/>
  <c r="B214" i="1" s="1"/>
  <c r="F216" i="1" l="1"/>
  <c r="D215" i="1"/>
  <c r="B215" i="1" s="1"/>
  <c r="D216" i="1" l="1"/>
  <c r="B216" i="1" s="1"/>
  <c r="F217" i="1"/>
  <c r="D217" i="1" l="1"/>
  <c r="B217" i="1" s="1"/>
  <c r="F218" i="1"/>
  <c r="D218" i="1" l="1"/>
  <c r="B218" i="1" s="1"/>
  <c r="F219" i="1"/>
  <c r="D219" i="1" l="1"/>
  <c r="B219" i="1" s="1"/>
  <c r="F220" i="1"/>
  <c r="F221" i="1" l="1"/>
  <c r="D220" i="1"/>
  <c r="B220" i="1" s="1"/>
  <c r="D221" i="1" l="1"/>
  <c r="B221" i="1" s="1"/>
  <c r="F222" i="1"/>
  <c r="D222" i="1" l="1"/>
  <c r="B222" i="1" s="1"/>
  <c r="F223" i="1"/>
  <c r="F224" i="1" l="1"/>
  <c r="D223" i="1"/>
  <c r="B223" i="1" s="1"/>
  <c r="F225" i="1" l="1"/>
  <c r="D225" i="1" s="1"/>
  <c r="B225" i="1" s="1"/>
  <c r="D224" i="1"/>
  <c r="B224" i="1" s="1"/>
</calcChain>
</file>

<file path=xl/sharedStrings.xml><?xml version="1.0" encoding="utf-8"?>
<sst xmlns="http://schemas.openxmlformats.org/spreadsheetml/2006/main" count="11" uniqueCount="10">
  <si>
    <t>Date</t>
  </si>
  <si>
    <t>YTD</t>
  </si>
  <si>
    <t>Dummy</t>
  </si>
  <si>
    <t>S&amp;P 500</t>
  </si>
  <si>
    <t>Dumm2</t>
  </si>
  <si>
    <t>Estimated Accmulative Cashouts</t>
  </si>
  <si>
    <t>Cashout Notes</t>
  </si>
  <si>
    <t>10647 over 13 days</t>
  </si>
  <si>
    <t>92186 over 30 days</t>
  </si>
  <si>
    <t>357139 over 100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</si>
</sst>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5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vertical="center" wrapText="1"/>
    </xf>
    <xf numFmtId="9" fontId="0" fillId="0" borderId="0" xfId="1" applyFont="1"/>
    <xf numFmtId="10" fontId="0" fillId="0" borderId="0" xfId="1" applyNumberFormat="1" applyFont="1"/>
    <xf numFmtId="0" fontId="1" fillId="0" borderId="1" xfId="0" applyFont="1" applyBorder="1" applyAlignment="1">
      <alignment horizontal="right" wrapText="1"/>
    </xf>
    <xf numFmtId="3" fontId="1" fillId="0" borderId="0" xfId="0" applyNumberFormat="1" applyFont="1"/>
    <xf numFmtId="3" fontId="0" fillId="0" borderId="0" xfId="1" applyNumberFormat="1" applyFont="1"/>
    <xf numFmtId="0" fontId="3" fillId="2" borderId="0" xfId="0" applyFont="1" applyFill="1"/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"/>
  <sheetViews>
    <sheetView tabSelected="1" topLeftCell="A212" workbookViewId="0">
      <selection activeCell="K229" sqref="K229:L245"/>
    </sheetView>
  </sheetViews>
  <sheetFormatPr defaultRowHeight="15" x14ac:dyDescent="0.25"/>
  <cols>
    <col min="1" max="1" width="10.5703125" customWidth="1"/>
    <col min="2" max="2" width="12" bestFit="1" customWidth="1"/>
    <col min="3" max="4" width="12" customWidth="1"/>
    <col min="6" max="6" width="9.140625" style="8"/>
    <col min="8" max="8" width="35.42578125" customWidth="1"/>
  </cols>
  <sheetData>
    <row r="1" spans="1:8" ht="15.75" thickBot="1" x14ac:dyDescent="0.3">
      <c r="A1" t="s">
        <v>0</v>
      </c>
      <c r="B1" t="s">
        <v>1</v>
      </c>
      <c r="C1" t="s">
        <v>3</v>
      </c>
      <c r="D1" t="s">
        <v>2</v>
      </c>
      <c r="E1" t="s">
        <v>2</v>
      </c>
      <c r="F1" s="8" t="s">
        <v>5</v>
      </c>
      <c r="G1" t="s">
        <v>4</v>
      </c>
      <c r="H1" s="10" t="s">
        <v>6</v>
      </c>
    </row>
    <row r="2" spans="1:8" ht="15.75" thickBot="1" x14ac:dyDescent="0.3">
      <c r="A2" s="1">
        <v>45922</v>
      </c>
      <c r="B2" s="3">
        <v>0</v>
      </c>
      <c r="C2" s="3">
        <v>0</v>
      </c>
      <c r="D2" s="7">
        <f>E2+F2</f>
        <v>3722947</v>
      </c>
      <c r="E2" s="2">
        <v>3722947</v>
      </c>
      <c r="F2" s="9"/>
      <c r="G2" s="5">
        <v>6693.75</v>
      </c>
    </row>
    <row r="3" spans="1:8" ht="15.75" thickBot="1" x14ac:dyDescent="0.3">
      <c r="A3" s="1">
        <v>45923</v>
      </c>
      <c r="B3" s="4">
        <f>(D3/$D$2)-1</f>
        <v>1.7182624410179148E-3</v>
      </c>
      <c r="C3" s="4">
        <f>(G3/$G$2)-1</f>
        <v>-5.5021475256769037E-3</v>
      </c>
      <c r="D3" s="7">
        <f t="shared" ref="D3:D66" si="0">E3+F3</f>
        <v>3729344</v>
      </c>
      <c r="E3" s="2">
        <v>3729344</v>
      </c>
      <c r="F3" s="9"/>
      <c r="G3" s="5">
        <v>6656.92</v>
      </c>
    </row>
    <row r="4" spans="1:8" ht="15.75" thickBot="1" x14ac:dyDescent="0.3">
      <c r="A4" s="1">
        <v>45924</v>
      </c>
      <c r="B4" s="4">
        <f t="shared" ref="B4:B67" si="1">(D4/$D$2)-1</f>
        <v>-5.3041313776425181E-3</v>
      </c>
      <c r="C4" s="4">
        <f t="shared" ref="C4:C67" si="2">(G4/$G$2)-1</f>
        <v>-8.333146591970042E-3</v>
      </c>
      <c r="D4" s="7">
        <f t="shared" si="0"/>
        <v>3703200</v>
      </c>
      <c r="E4" s="2">
        <v>3703200</v>
      </c>
      <c r="F4" s="9"/>
      <c r="G4" s="5">
        <v>6637.97</v>
      </c>
    </row>
    <row r="5" spans="1:8" ht="15.75" thickBot="1" x14ac:dyDescent="0.3">
      <c r="A5" s="1">
        <v>45925</v>
      </c>
      <c r="B5" s="4">
        <f t="shared" si="1"/>
        <v>-2.747259093401011E-2</v>
      </c>
      <c r="C5" s="4">
        <f t="shared" si="2"/>
        <v>-1.3300466853408022E-2</v>
      </c>
      <c r="D5" s="7">
        <f t="shared" si="0"/>
        <v>3620668</v>
      </c>
      <c r="E5" s="2">
        <v>3620668</v>
      </c>
      <c r="F5" s="9"/>
      <c r="G5" s="5">
        <v>6604.72</v>
      </c>
    </row>
    <row r="6" spans="1:8" ht="15.75" thickBot="1" x14ac:dyDescent="0.3">
      <c r="A6" s="1">
        <v>45926</v>
      </c>
      <c r="B6" s="4">
        <f t="shared" si="1"/>
        <v>-2.2355139624603892E-2</v>
      </c>
      <c r="C6" s="4">
        <f t="shared" si="2"/>
        <v>-7.4771241830066115E-3</v>
      </c>
      <c r="D6" s="7">
        <f t="shared" si="0"/>
        <v>3639720</v>
      </c>
      <c r="E6" s="2">
        <v>3639720</v>
      </c>
      <c r="F6" s="9"/>
      <c r="G6" s="5">
        <v>6643.7</v>
      </c>
    </row>
    <row r="7" spans="1:8" ht="15.75" thickBot="1" x14ac:dyDescent="0.3">
      <c r="A7" s="1">
        <v>45927</v>
      </c>
      <c r="B7" s="4">
        <f t="shared" si="1"/>
        <v>-2.2345469865673651E-2</v>
      </c>
      <c r="C7" s="4">
        <f t="shared" si="2"/>
        <v>-4.8612511671335401E-3</v>
      </c>
      <c r="D7" s="7">
        <f t="shared" si="0"/>
        <v>3639756</v>
      </c>
      <c r="E7" s="2">
        <v>3639756</v>
      </c>
      <c r="F7" s="9"/>
      <c r="G7" s="5">
        <v>6661.21</v>
      </c>
    </row>
    <row r="8" spans="1:8" ht="15.75" thickBot="1" x14ac:dyDescent="0.3">
      <c r="A8" s="1">
        <v>45928</v>
      </c>
      <c r="B8" s="4">
        <f t="shared" si="1"/>
        <v>-2.2263008310351995E-2</v>
      </c>
      <c r="C8" s="4">
        <f t="shared" si="2"/>
        <v>-4.8612511671335401E-3</v>
      </c>
      <c r="D8" s="7">
        <f t="shared" si="0"/>
        <v>3640063</v>
      </c>
      <c r="E8" s="2">
        <v>3640063</v>
      </c>
      <c r="F8" s="9"/>
      <c r="G8" s="5">
        <v>6661.21</v>
      </c>
    </row>
    <row r="9" spans="1:8" ht="15.75" thickBot="1" x14ac:dyDescent="0.3">
      <c r="A9" s="1">
        <v>45929</v>
      </c>
      <c r="B9" s="4">
        <f t="shared" si="1"/>
        <v>-5.4405824203245245E-3</v>
      </c>
      <c r="C9" s="4">
        <f t="shared" si="2"/>
        <v>-4.8612511671335401E-3</v>
      </c>
      <c r="D9" s="7">
        <f t="shared" si="0"/>
        <v>3702692</v>
      </c>
      <c r="E9" s="2">
        <v>3702692</v>
      </c>
      <c r="F9" s="9"/>
      <c r="G9" s="5">
        <v>6661.21</v>
      </c>
    </row>
    <row r="10" spans="1:8" ht="15.75" thickBot="1" x14ac:dyDescent="0.3">
      <c r="A10" s="1">
        <v>45930</v>
      </c>
      <c r="B10" s="4">
        <f t="shared" si="1"/>
        <v>-7.0884705046835306E-3</v>
      </c>
      <c r="C10" s="4">
        <f t="shared" si="2"/>
        <v>-7.9028944911296861E-4</v>
      </c>
      <c r="D10" s="7">
        <f t="shared" si="0"/>
        <v>3696557</v>
      </c>
      <c r="E10" s="2">
        <v>3696557</v>
      </c>
      <c r="F10" s="9"/>
      <c r="G10" s="5">
        <v>6688.46</v>
      </c>
    </row>
    <row r="11" spans="1:8" ht="15.75" thickBot="1" x14ac:dyDescent="0.3">
      <c r="A11" s="1">
        <v>45931</v>
      </c>
      <c r="B11" s="4">
        <f t="shared" si="1"/>
        <v>1.1422939945156418E-2</v>
      </c>
      <c r="C11" s="4">
        <f t="shared" si="2"/>
        <v>2.6069094304388418E-3</v>
      </c>
      <c r="D11" s="7">
        <f t="shared" si="0"/>
        <v>3765474</v>
      </c>
      <c r="E11" s="2">
        <v>3765474</v>
      </c>
      <c r="F11" s="9"/>
      <c r="G11" s="5">
        <v>6711.2</v>
      </c>
    </row>
    <row r="12" spans="1:8" ht="15.75" thickBot="1" x14ac:dyDescent="0.3">
      <c r="A12" s="1">
        <v>45932</v>
      </c>
      <c r="B12" s="4">
        <f t="shared" si="1"/>
        <v>2.8759206080559263E-2</v>
      </c>
      <c r="C12" s="4">
        <f t="shared" si="2"/>
        <v>3.2268907563026694E-3</v>
      </c>
      <c r="D12" s="7">
        <f t="shared" si="0"/>
        <v>3830016</v>
      </c>
      <c r="E12" s="2">
        <v>3830016</v>
      </c>
      <c r="F12" s="9"/>
      <c r="G12" s="5">
        <v>6715.35</v>
      </c>
    </row>
    <row r="13" spans="1:8" ht="15.75" thickBot="1" x14ac:dyDescent="0.3">
      <c r="A13" s="1">
        <v>45933</v>
      </c>
      <c r="B13" s="4">
        <f t="shared" si="1"/>
        <v>3.0120493254403025E-2</v>
      </c>
      <c r="C13" s="4">
        <f t="shared" si="2"/>
        <v>3.2926237161530203E-3</v>
      </c>
      <c r="D13" s="7">
        <f t="shared" si="0"/>
        <v>3835084</v>
      </c>
      <c r="E13" s="2">
        <v>3835084</v>
      </c>
      <c r="F13" s="9"/>
      <c r="G13" s="5">
        <v>6715.79</v>
      </c>
    </row>
    <row r="14" spans="1:8" ht="15.75" thickBot="1" x14ac:dyDescent="0.3">
      <c r="A14" s="1">
        <v>45934</v>
      </c>
      <c r="B14" s="4">
        <f t="shared" si="1"/>
        <v>3.0126402551527098E-2</v>
      </c>
      <c r="C14" s="4">
        <f t="shared" si="2"/>
        <v>6.9512605042016951E-3</v>
      </c>
      <c r="D14" s="7">
        <f t="shared" si="0"/>
        <v>3835106</v>
      </c>
      <c r="E14" s="2">
        <v>3835106</v>
      </c>
      <c r="F14" s="9"/>
      <c r="G14" s="5">
        <v>6740.28</v>
      </c>
    </row>
    <row r="15" spans="1:8" ht="15.75" thickBot="1" x14ac:dyDescent="0.3">
      <c r="A15" s="1">
        <v>45935</v>
      </c>
      <c r="B15" s="4">
        <f t="shared" si="1"/>
        <v>3.1415703742223577E-2</v>
      </c>
      <c r="C15" s="4">
        <f t="shared" si="2"/>
        <v>6.9512605042016951E-3</v>
      </c>
      <c r="D15" s="7">
        <f t="shared" si="0"/>
        <v>3839906</v>
      </c>
      <c r="E15" s="2">
        <v>3839906</v>
      </c>
      <c r="F15" s="9"/>
      <c r="G15" s="5">
        <v>6740.28</v>
      </c>
    </row>
    <row r="16" spans="1:8" ht="15.75" thickBot="1" x14ac:dyDescent="0.3">
      <c r="A16" s="1">
        <v>45936</v>
      </c>
      <c r="B16" s="4">
        <f t="shared" si="1"/>
        <v>3.949693616374339E-2</v>
      </c>
      <c r="C16" s="4">
        <f t="shared" si="2"/>
        <v>6.9512605042016951E-3</v>
      </c>
      <c r="D16" s="7">
        <f t="shared" si="0"/>
        <v>3869992</v>
      </c>
      <c r="E16" s="2">
        <v>3869992</v>
      </c>
      <c r="F16" s="9"/>
      <c r="G16" s="5">
        <v>6740.28</v>
      </c>
    </row>
    <row r="17" spans="1:8" ht="15.75" thickBot="1" x14ac:dyDescent="0.3">
      <c r="A17" s="1">
        <v>45937</v>
      </c>
      <c r="B17" s="4">
        <f t="shared" si="1"/>
        <v>2.096215712982219E-2</v>
      </c>
      <c r="C17" s="4">
        <f t="shared" si="2"/>
        <v>3.1133520074697607E-3</v>
      </c>
      <c r="D17" s="7">
        <f t="shared" si="0"/>
        <v>3800988</v>
      </c>
      <c r="E17" s="2">
        <v>3800988</v>
      </c>
      <c r="F17" s="9"/>
      <c r="G17" s="5">
        <v>6714.59</v>
      </c>
    </row>
    <row r="18" spans="1:8" ht="15.75" thickBot="1" x14ac:dyDescent="0.3">
      <c r="A18" s="1">
        <v>45938</v>
      </c>
      <c r="B18" s="4">
        <f t="shared" si="1"/>
        <v>2.7909073107943883E-2</v>
      </c>
      <c r="C18" s="4">
        <f t="shared" si="2"/>
        <v>8.9591036414566894E-3</v>
      </c>
      <c r="D18" s="7">
        <f t="shared" si="0"/>
        <v>3826851</v>
      </c>
      <c r="E18" s="2">
        <v>3826851</v>
      </c>
      <c r="F18" s="9"/>
      <c r="G18" s="5">
        <v>6753.72</v>
      </c>
    </row>
    <row r="19" spans="1:8" ht="15.75" thickBot="1" x14ac:dyDescent="0.3">
      <c r="A19" s="1">
        <v>45939</v>
      </c>
      <c r="B19" s="4">
        <f t="shared" si="1"/>
        <v>1.1866137229458174E-2</v>
      </c>
      <c r="C19" s="4">
        <f t="shared" si="2"/>
        <v>6.1788982259569636E-3</v>
      </c>
      <c r="D19" s="7">
        <f t="shared" si="0"/>
        <v>3767124</v>
      </c>
      <c r="E19" s="2">
        <v>3767124</v>
      </c>
      <c r="F19" s="9"/>
      <c r="G19" s="5">
        <v>6735.11</v>
      </c>
    </row>
    <row r="20" spans="1:8" ht="15.75" thickBot="1" x14ac:dyDescent="0.3">
      <c r="A20" s="1">
        <v>45940</v>
      </c>
      <c r="B20" s="4">
        <f t="shared" si="1"/>
        <v>-1.2601038908155338E-2</v>
      </c>
      <c r="C20" s="4">
        <f t="shared" si="2"/>
        <v>-2.1100280112044789E-2</v>
      </c>
      <c r="D20" s="7">
        <f t="shared" si="0"/>
        <v>3676034</v>
      </c>
      <c r="E20" s="2">
        <v>3676034</v>
      </c>
      <c r="F20" s="9"/>
      <c r="G20" s="5">
        <v>6552.51</v>
      </c>
    </row>
    <row r="21" spans="1:8" ht="15.75" thickBot="1" x14ac:dyDescent="0.3">
      <c r="A21" s="1">
        <v>45941</v>
      </c>
      <c r="B21" s="4">
        <f t="shared" si="1"/>
        <v>-1.2931959547100691E-2</v>
      </c>
      <c r="C21" s="4">
        <f t="shared" si="2"/>
        <v>-5.8308123249298793E-3</v>
      </c>
      <c r="D21" s="7">
        <f t="shared" si="0"/>
        <v>3674802</v>
      </c>
      <c r="E21" s="2">
        <v>3674802</v>
      </c>
      <c r="F21" s="9"/>
      <c r="G21" s="5">
        <v>6654.72</v>
      </c>
    </row>
    <row r="22" spans="1:8" ht="15.75" thickBot="1" x14ac:dyDescent="0.3">
      <c r="A22" s="1">
        <v>45942</v>
      </c>
      <c r="B22" s="4">
        <f t="shared" si="1"/>
        <v>-1.2686455112038919E-2</v>
      </c>
      <c r="C22" s="4">
        <f t="shared" si="2"/>
        <v>-5.8308123249298793E-3</v>
      </c>
      <c r="D22" s="7">
        <f t="shared" si="0"/>
        <v>3675716</v>
      </c>
      <c r="E22" s="2">
        <v>3675716</v>
      </c>
      <c r="F22" s="9"/>
      <c r="G22" s="5">
        <v>6654.72</v>
      </c>
    </row>
    <row r="23" spans="1:8" ht="15.75" thickBot="1" x14ac:dyDescent="0.3">
      <c r="A23" s="1">
        <v>45943</v>
      </c>
      <c r="B23" s="4">
        <f t="shared" si="1"/>
        <v>7.2058506339198747E-3</v>
      </c>
      <c r="C23" s="4">
        <f t="shared" si="2"/>
        <v>-5.8308123249298793E-3</v>
      </c>
      <c r="D23" s="7">
        <f t="shared" si="0"/>
        <v>3749774</v>
      </c>
      <c r="E23" s="2">
        <v>3749774</v>
      </c>
      <c r="F23" s="9"/>
      <c r="G23" s="5">
        <v>6654.72</v>
      </c>
    </row>
    <row r="24" spans="1:8" ht="15.75" thickBot="1" x14ac:dyDescent="0.3">
      <c r="A24" s="1">
        <v>45944</v>
      </c>
      <c r="B24" s="4">
        <f t="shared" si="1"/>
        <v>-2.9801659814120418E-3</v>
      </c>
      <c r="C24" s="4">
        <f t="shared" si="2"/>
        <v>-7.3859943977589992E-3</v>
      </c>
      <c r="D24" s="7">
        <f t="shared" si="0"/>
        <v>3711852</v>
      </c>
      <c r="E24" s="2">
        <v>3711852</v>
      </c>
      <c r="F24" s="9"/>
      <c r="G24" s="5">
        <v>6644.31</v>
      </c>
    </row>
    <row r="25" spans="1:8" ht="15.75" thickBot="1" x14ac:dyDescent="0.3">
      <c r="A25" s="1">
        <v>45945</v>
      </c>
      <c r="B25" s="4">
        <f t="shared" si="1"/>
        <v>-2.3613014098776697E-3</v>
      </c>
      <c r="C25" s="4">
        <f t="shared" si="2"/>
        <v>-3.3897292250232303E-3</v>
      </c>
      <c r="D25" s="7">
        <f t="shared" si="0"/>
        <v>3714156</v>
      </c>
      <c r="E25" s="2">
        <v>3714156</v>
      </c>
      <c r="F25" s="9"/>
      <c r="G25" s="5">
        <v>6671.06</v>
      </c>
    </row>
    <row r="26" spans="1:8" ht="15.75" thickBot="1" x14ac:dyDescent="0.3">
      <c r="A26" s="1">
        <v>45946</v>
      </c>
      <c r="B26" s="4">
        <f t="shared" si="1"/>
        <v>-1.2934108382418597E-2</v>
      </c>
      <c r="C26" s="4">
        <f t="shared" si="2"/>
        <v>-9.662745098039216E-3</v>
      </c>
      <c r="D26" s="7">
        <f t="shared" si="0"/>
        <v>3674794</v>
      </c>
      <c r="E26" s="2">
        <v>3674794</v>
      </c>
      <c r="F26" s="9"/>
      <c r="G26" s="5">
        <v>6629.07</v>
      </c>
    </row>
    <row r="27" spans="1:8" ht="15.75" thickBot="1" x14ac:dyDescent="0.3">
      <c r="A27" s="1">
        <v>45947</v>
      </c>
      <c r="B27" s="4">
        <f t="shared" si="1"/>
        <v>-1.8611062687704072E-2</v>
      </c>
      <c r="C27" s="4">
        <f t="shared" si="2"/>
        <v>-4.4429505135387126E-3</v>
      </c>
      <c r="D27" s="7">
        <f t="shared" si="0"/>
        <v>3653659</v>
      </c>
      <c r="E27" s="2">
        <v>3653659</v>
      </c>
      <c r="F27" s="9"/>
      <c r="G27" s="5">
        <v>6664.01</v>
      </c>
    </row>
    <row r="28" spans="1:8" ht="15.75" thickBot="1" x14ac:dyDescent="0.3">
      <c r="A28" s="1">
        <v>45948</v>
      </c>
      <c r="B28" s="4">
        <f t="shared" si="1"/>
        <v>-1.8593603400746783E-2</v>
      </c>
      <c r="C28" s="4">
        <f t="shared" si="2"/>
        <v>6.1818860877684845E-3</v>
      </c>
      <c r="D28" s="7">
        <f t="shared" si="0"/>
        <v>3653724</v>
      </c>
      <c r="E28" s="2">
        <v>3653724</v>
      </c>
      <c r="F28" s="9"/>
      <c r="G28" s="5">
        <v>6735.13</v>
      </c>
    </row>
    <row r="29" spans="1:8" ht="15.75" thickBot="1" x14ac:dyDescent="0.3">
      <c r="A29" s="1">
        <v>45949</v>
      </c>
      <c r="B29" s="4">
        <f t="shared" si="1"/>
        <v>-1.840101403538652E-2</v>
      </c>
      <c r="C29" s="4">
        <f t="shared" si="2"/>
        <v>6.1818860877684845E-3</v>
      </c>
      <c r="D29" s="7">
        <f t="shared" si="0"/>
        <v>3654441</v>
      </c>
      <c r="E29" s="2">
        <v>3654441</v>
      </c>
      <c r="F29" s="9"/>
      <c r="G29" s="5">
        <v>6735.13</v>
      </c>
    </row>
    <row r="30" spans="1:8" ht="15.75" thickBot="1" x14ac:dyDescent="0.3">
      <c r="A30" s="1">
        <v>45950</v>
      </c>
      <c r="B30" s="4">
        <f t="shared" si="1"/>
        <v>-8.2101625405894829E-3</v>
      </c>
      <c r="C30" s="4">
        <f t="shared" si="2"/>
        <v>6.1818860877684845E-3</v>
      </c>
      <c r="D30" s="7">
        <f t="shared" si="0"/>
        <v>3692381</v>
      </c>
      <c r="E30" s="2">
        <v>3692381</v>
      </c>
      <c r="F30" s="9"/>
      <c r="G30" s="5">
        <v>6735.13</v>
      </c>
    </row>
    <row r="31" spans="1:8" ht="15.75" thickBot="1" x14ac:dyDescent="0.3">
      <c r="A31" s="1">
        <v>45951</v>
      </c>
      <c r="B31" s="4">
        <f t="shared" si="1"/>
        <v>-7.7782466417061213E-3</v>
      </c>
      <c r="C31" s="4">
        <f t="shared" si="2"/>
        <v>6.214752567693882E-3</v>
      </c>
      <c r="D31" s="7">
        <f t="shared" si="0"/>
        <v>3693989</v>
      </c>
      <c r="E31" s="2">
        <v>3693170</v>
      </c>
      <c r="F31" s="9">
        <f>(10647/13)</f>
        <v>819</v>
      </c>
      <c r="G31" s="5">
        <v>6735.35</v>
      </c>
      <c r="H31" t="s">
        <v>7</v>
      </c>
    </row>
    <row r="32" spans="1:8" ht="15.75" thickBot="1" x14ac:dyDescent="0.3">
      <c r="A32" s="1">
        <v>45952</v>
      </c>
      <c r="B32" s="4">
        <f t="shared" si="1"/>
        <v>-2.7659808211075831E-2</v>
      </c>
      <c r="C32" s="4">
        <f t="shared" si="2"/>
        <v>8.4407096171790208E-4</v>
      </c>
      <c r="D32" s="7">
        <f t="shared" si="0"/>
        <v>3619971</v>
      </c>
      <c r="E32" s="2">
        <v>3618333</v>
      </c>
      <c r="F32" s="9">
        <f>F31+(10647/13)</f>
        <v>1638</v>
      </c>
      <c r="G32" s="5">
        <v>6699.4</v>
      </c>
    </row>
    <row r="33" spans="1:8" ht="15.75" thickBot="1" x14ac:dyDescent="0.3">
      <c r="A33" s="1">
        <v>45953</v>
      </c>
      <c r="B33" s="4">
        <f t="shared" si="1"/>
        <v>-2.0508215668931129E-2</v>
      </c>
      <c r="C33" s="4">
        <f t="shared" si="2"/>
        <v>6.6763772175535419E-3</v>
      </c>
      <c r="D33" s="7">
        <f t="shared" si="0"/>
        <v>3646596</v>
      </c>
      <c r="E33" s="2">
        <v>3644139</v>
      </c>
      <c r="F33" s="9">
        <f t="shared" ref="F33:F43" si="3">F32+(10647/13)</f>
        <v>2457</v>
      </c>
      <c r="G33" s="5">
        <v>6738.44</v>
      </c>
    </row>
    <row r="34" spans="1:8" ht="15.75" thickBot="1" x14ac:dyDescent="0.3">
      <c r="A34" s="1">
        <v>45954</v>
      </c>
      <c r="B34" s="4">
        <f t="shared" si="1"/>
        <v>-1.4780495129261828E-2</v>
      </c>
      <c r="C34" s="4">
        <f t="shared" si="2"/>
        <v>1.4631559290382734E-2</v>
      </c>
      <c r="D34" s="7">
        <f t="shared" si="0"/>
        <v>3667920</v>
      </c>
      <c r="E34" s="2">
        <v>3664644</v>
      </c>
      <c r="F34" s="9">
        <f t="shared" si="3"/>
        <v>3276</v>
      </c>
      <c r="G34" s="5">
        <v>6791.69</v>
      </c>
    </row>
    <row r="35" spans="1:8" ht="15.75" thickBot="1" x14ac:dyDescent="0.3">
      <c r="A35" s="1">
        <v>45955</v>
      </c>
      <c r="B35" s="4">
        <f t="shared" si="1"/>
        <v>-1.4486104690719426E-2</v>
      </c>
      <c r="C35" s="4">
        <f t="shared" si="2"/>
        <v>2.7101400560224143E-2</v>
      </c>
      <c r="D35" s="7">
        <f t="shared" si="0"/>
        <v>3669016</v>
      </c>
      <c r="E35" s="2">
        <v>3664921</v>
      </c>
      <c r="F35" s="9">
        <f t="shared" si="3"/>
        <v>4095</v>
      </c>
      <c r="G35" s="5">
        <v>6875.16</v>
      </c>
    </row>
    <row r="36" spans="1:8" ht="15.75" thickBot="1" x14ac:dyDescent="0.3">
      <c r="A36" s="1">
        <v>45956</v>
      </c>
      <c r="B36" s="4">
        <f t="shared" si="1"/>
        <v>-1.4042370197588139E-2</v>
      </c>
      <c r="C36" s="4">
        <f t="shared" si="2"/>
        <v>2.7101400560224143E-2</v>
      </c>
      <c r="D36" s="7">
        <f t="shared" si="0"/>
        <v>3670668</v>
      </c>
      <c r="E36" s="2">
        <v>3665754</v>
      </c>
      <c r="F36" s="9">
        <f t="shared" si="3"/>
        <v>4914</v>
      </c>
      <c r="G36" s="5">
        <v>6875.16</v>
      </c>
    </row>
    <row r="37" spans="1:8" ht="15.75" thickBot="1" x14ac:dyDescent="0.3">
      <c r="A37" s="1">
        <v>45957</v>
      </c>
      <c r="B37" s="4">
        <f t="shared" si="1"/>
        <v>-4.9326514720731129E-3</v>
      </c>
      <c r="C37" s="4">
        <f t="shared" si="2"/>
        <v>2.7101400560224143E-2</v>
      </c>
      <c r="D37" s="7">
        <f t="shared" si="0"/>
        <v>3704583</v>
      </c>
      <c r="E37" s="2">
        <v>3698850</v>
      </c>
      <c r="F37" s="9">
        <f t="shared" si="3"/>
        <v>5733</v>
      </c>
      <c r="G37" s="5">
        <v>6875.16</v>
      </c>
    </row>
    <row r="38" spans="1:8" ht="15.75" thickBot="1" x14ac:dyDescent="0.3">
      <c r="A38" s="1">
        <v>45958</v>
      </c>
      <c r="B38" s="4">
        <f t="shared" si="1"/>
        <v>-1.1814296577415728E-2</v>
      </c>
      <c r="C38" s="4">
        <f t="shared" si="2"/>
        <v>2.945135387488329E-2</v>
      </c>
      <c r="D38" s="7">
        <f t="shared" si="0"/>
        <v>3678963</v>
      </c>
      <c r="E38" s="2">
        <v>3672411</v>
      </c>
      <c r="F38" s="9">
        <f t="shared" si="3"/>
        <v>6552</v>
      </c>
      <c r="G38" s="5">
        <v>6890.89</v>
      </c>
    </row>
    <row r="39" spans="1:8" ht="15.75" thickBot="1" x14ac:dyDescent="0.3">
      <c r="A39" s="1">
        <v>45959</v>
      </c>
      <c r="B39" s="4">
        <f t="shared" si="1"/>
        <v>-2.4277810025229996E-2</v>
      </c>
      <c r="C39" s="4">
        <f t="shared" si="2"/>
        <v>2.9406535947712475E-2</v>
      </c>
      <c r="D39" s="7">
        <f t="shared" si="0"/>
        <v>3632562</v>
      </c>
      <c r="E39" s="2">
        <v>3625191</v>
      </c>
      <c r="F39" s="9">
        <f t="shared" si="3"/>
        <v>7371</v>
      </c>
      <c r="G39" s="5">
        <v>6890.59</v>
      </c>
    </row>
    <row r="40" spans="1:8" ht="15.75" thickBot="1" x14ac:dyDescent="0.3">
      <c r="A40" s="1">
        <v>45960</v>
      </c>
      <c r="B40" s="4">
        <f t="shared" si="1"/>
        <v>-5.0958286540205955E-2</v>
      </c>
      <c r="C40" s="4">
        <f t="shared" si="2"/>
        <v>1.9210457516339874E-2</v>
      </c>
      <c r="D40" s="7">
        <f t="shared" si="0"/>
        <v>3533232</v>
      </c>
      <c r="E40" s="2">
        <v>3525042</v>
      </c>
      <c r="F40" s="9">
        <f t="shared" si="3"/>
        <v>8190</v>
      </c>
      <c r="G40" s="5">
        <v>6822.34</v>
      </c>
    </row>
    <row r="41" spans="1:8" ht="15.75" thickBot="1" x14ac:dyDescent="0.3">
      <c r="A41" s="1">
        <v>45961</v>
      </c>
      <c r="B41" s="4">
        <f t="shared" si="1"/>
        <v>-4.3989882208905984E-2</v>
      </c>
      <c r="C41" s="4">
        <f t="shared" si="2"/>
        <v>2.1878618113912118E-2</v>
      </c>
      <c r="D41" s="7">
        <f t="shared" si="0"/>
        <v>3559175</v>
      </c>
      <c r="E41" s="2">
        <v>3550166</v>
      </c>
      <c r="F41" s="9">
        <f t="shared" si="3"/>
        <v>9009</v>
      </c>
      <c r="G41" s="5">
        <v>6840.2</v>
      </c>
    </row>
    <row r="42" spans="1:8" ht="15.75" thickBot="1" x14ac:dyDescent="0.3">
      <c r="A42" s="1">
        <v>45962</v>
      </c>
      <c r="B42" s="4">
        <f t="shared" si="1"/>
        <v>-3.5629838404898084E-2</v>
      </c>
      <c r="C42" s="4">
        <f t="shared" si="2"/>
        <v>2.363697478991611E-2</v>
      </c>
      <c r="D42" s="7">
        <f t="shared" si="0"/>
        <v>3590299</v>
      </c>
      <c r="E42" s="2">
        <v>3580471</v>
      </c>
      <c r="F42" s="9">
        <f t="shared" si="3"/>
        <v>9828</v>
      </c>
      <c r="G42" s="5">
        <v>6851.97</v>
      </c>
    </row>
    <row r="43" spans="1:8" ht="15.75" thickBot="1" x14ac:dyDescent="0.3">
      <c r="A43" s="1">
        <v>45963</v>
      </c>
      <c r="B43" s="4">
        <f t="shared" si="1"/>
        <v>-3.5455782744154063E-2</v>
      </c>
      <c r="C43" s="4">
        <f t="shared" si="2"/>
        <v>2.363697478991611E-2</v>
      </c>
      <c r="D43" s="7">
        <f t="shared" si="0"/>
        <v>3590947</v>
      </c>
      <c r="E43" s="2">
        <v>3580300</v>
      </c>
      <c r="F43" s="9">
        <f t="shared" si="3"/>
        <v>10647</v>
      </c>
      <c r="G43" s="5">
        <v>6851.97</v>
      </c>
    </row>
    <row r="44" spans="1:8" ht="15.75" thickBot="1" x14ac:dyDescent="0.3">
      <c r="A44" s="1">
        <v>45964</v>
      </c>
      <c r="B44" s="4">
        <f t="shared" si="1"/>
        <v>-3.9190762944874891E-2</v>
      </c>
      <c r="C44" s="4">
        <f t="shared" si="2"/>
        <v>2.363697478991611E-2</v>
      </c>
      <c r="D44" s="7">
        <f t="shared" si="0"/>
        <v>3577041.8666666667</v>
      </c>
      <c r="E44" s="2">
        <v>3563322</v>
      </c>
      <c r="F44" s="9">
        <f>F43+(92186/30)</f>
        <v>13719.866666666667</v>
      </c>
      <c r="G44" s="5">
        <v>6851.97</v>
      </c>
      <c r="H44" t="s">
        <v>8</v>
      </c>
    </row>
    <row r="45" spans="1:8" ht="15.75" thickBot="1" x14ac:dyDescent="0.3">
      <c r="A45" s="1">
        <v>45965</v>
      </c>
      <c r="B45" s="4">
        <f t="shared" si="1"/>
        <v>-5.8537300334027487E-2</v>
      </c>
      <c r="C45" s="4">
        <f t="shared" si="2"/>
        <v>1.1622782446311986E-2</v>
      </c>
      <c r="D45" s="7">
        <f t="shared" si="0"/>
        <v>3505015.7333333334</v>
      </c>
      <c r="E45" s="2">
        <v>3488223</v>
      </c>
      <c r="F45" s="9">
        <f t="shared" ref="F45:F73" si="4">F44+(92186/30)</f>
        <v>16792.733333333334</v>
      </c>
      <c r="G45" s="5">
        <v>6771.55</v>
      </c>
    </row>
    <row r="46" spans="1:8" ht="15.75" thickBot="1" x14ac:dyDescent="0.3">
      <c r="A46" s="1">
        <v>45966</v>
      </c>
      <c r="B46" s="4">
        <f t="shared" si="1"/>
        <v>-5.3375027901283567E-2</v>
      </c>
      <c r="C46" s="4">
        <f t="shared" si="2"/>
        <v>1.5318767507002784E-2</v>
      </c>
      <c r="D46" s="7">
        <f t="shared" si="0"/>
        <v>3524234.6</v>
      </c>
      <c r="E46" s="2">
        <v>3504369</v>
      </c>
      <c r="F46" s="9">
        <f t="shared" si="4"/>
        <v>19865.599999999999</v>
      </c>
      <c r="G46" s="5">
        <v>6796.29</v>
      </c>
    </row>
    <row r="47" spans="1:8" ht="15.75" thickBot="1" x14ac:dyDescent="0.3">
      <c r="A47" s="1">
        <v>45967</v>
      </c>
      <c r="B47" s="4">
        <f t="shared" si="1"/>
        <v>-7.2747351314250031E-2</v>
      </c>
      <c r="C47" s="4">
        <f t="shared" si="2"/>
        <v>3.9693744164333022E-3</v>
      </c>
      <c r="D47" s="7">
        <f t="shared" si="0"/>
        <v>3452112.4666666668</v>
      </c>
      <c r="E47" s="2">
        <v>3429174</v>
      </c>
      <c r="F47" s="9">
        <f t="shared" si="4"/>
        <v>22938.466666666667</v>
      </c>
      <c r="G47" s="5">
        <v>6720.32</v>
      </c>
    </row>
    <row r="48" spans="1:8" ht="15.75" thickBot="1" x14ac:dyDescent="0.3">
      <c r="A48" s="1">
        <v>45968</v>
      </c>
      <c r="B48" s="4">
        <f t="shared" si="1"/>
        <v>-7.0881660863468254E-2</v>
      </c>
      <c r="C48" s="4">
        <f t="shared" si="2"/>
        <v>5.2362278244630911E-3</v>
      </c>
      <c r="D48" s="7">
        <f t="shared" si="0"/>
        <v>3459058.3333333335</v>
      </c>
      <c r="E48" s="2">
        <v>3433047</v>
      </c>
      <c r="F48" s="9">
        <f t="shared" si="4"/>
        <v>26011.333333333336</v>
      </c>
      <c r="G48" s="5">
        <v>6728.8</v>
      </c>
    </row>
    <row r="49" spans="1:7" ht="15.75" thickBot="1" x14ac:dyDescent="0.3">
      <c r="A49" s="1">
        <v>45969</v>
      </c>
      <c r="B49" s="4">
        <f t="shared" si="1"/>
        <v>-6.9782567412321472E-2</v>
      </c>
      <c r="C49" s="4">
        <f t="shared" si="2"/>
        <v>2.0717833800186769E-2</v>
      </c>
      <c r="D49" s="7">
        <f t="shared" si="0"/>
        <v>3463150.2</v>
      </c>
      <c r="E49" s="2">
        <v>3434066</v>
      </c>
      <c r="F49" s="9">
        <f t="shared" si="4"/>
        <v>29084.200000000004</v>
      </c>
      <c r="G49" s="5">
        <v>6832.43</v>
      </c>
    </row>
    <row r="50" spans="1:7" ht="15.75" thickBot="1" x14ac:dyDescent="0.3">
      <c r="A50" s="1">
        <v>45970</v>
      </c>
      <c r="B50" s="4">
        <f t="shared" si="1"/>
        <v>-6.9017349248682081E-2</v>
      </c>
      <c r="C50" s="4">
        <f t="shared" si="2"/>
        <v>2.0717833800186769E-2</v>
      </c>
      <c r="D50" s="7">
        <f t="shared" si="0"/>
        <v>3465999.0666666669</v>
      </c>
      <c r="E50" s="2">
        <v>3433842</v>
      </c>
      <c r="F50" s="9">
        <f t="shared" si="4"/>
        <v>32157.066666666673</v>
      </c>
      <c r="G50" s="5">
        <v>6832.43</v>
      </c>
    </row>
    <row r="51" spans="1:7" ht="15.75" thickBot="1" x14ac:dyDescent="0.3">
      <c r="A51" s="1">
        <v>45971</v>
      </c>
      <c r="B51" s="4">
        <f t="shared" si="1"/>
        <v>-6.5989676099785122E-2</v>
      </c>
      <c r="C51" s="4">
        <f t="shared" si="2"/>
        <v>2.0717833800186769E-2</v>
      </c>
      <c r="D51" s="7">
        <f t="shared" si="0"/>
        <v>3477270.9333333331</v>
      </c>
      <c r="E51" s="2">
        <v>3442041</v>
      </c>
      <c r="F51" s="9">
        <f t="shared" si="4"/>
        <v>35229.933333333342</v>
      </c>
      <c r="G51" s="5">
        <v>6832.43</v>
      </c>
    </row>
    <row r="52" spans="1:7" ht="15.75" thickBot="1" x14ac:dyDescent="0.3">
      <c r="A52" s="1">
        <v>45972</v>
      </c>
      <c r="B52" s="4">
        <f t="shared" si="1"/>
        <v>-6.5617963403722945E-2</v>
      </c>
      <c r="C52" s="4">
        <f t="shared" si="2"/>
        <v>2.2836227824463151E-2</v>
      </c>
      <c r="D52" s="7">
        <f t="shared" si="0"/>
        <v>3478654.8</v>
      </c>
      <c r="E52" s="2">
        <v>3440352</v>
      </c>
      <c r="F52" s="9">
        <f t="shared" si="4"/>
        <v>38302.80000000001</v>
      </c>
      <c r="G52" s="5">
        <v>6846.61</v>
      </c>
    </row>
    <row r="53" spans="1:7" ht="15.75" thickBot="1" x14ac:dyDescent="0.3">
      <c r="A53" s="1">
        <v>45973</v>
      </c>
      <c r="B53" s="4">
        <f t="shared" si="1"/>
        <v>-6.2068123272593811E-2</v>
      </c>
      <c r="C53" s="4">
        <f t="shared" si="2"/>
        <v>2.3480112044818036E-2</v>
      </c>
      <c r="D53" s="7">
        <f t="shared" si="0"/>
        <v>3491870.6666666665</v>
      </c>
      <c r="E53" s="2">
        <v>3450495</v>
      </c>
      <c r="F53" s="9">
        <f t="shared" si="4"/>
        <v>41375.666666666679</v>
      </c>
      <c r="G53" s="5">
        <v>6850.92</v>
      </c>
    </row>
    <row r="54" spans="1:7" ht="15.75" thickBot="1" x14ac:dyDescent="0.3">
      <c r="A54" s="1">
        <v>45974</v>
      </c>
      <c r="B54" s="4">
        <f t="shared" si="1"/>
        <v>-8.2243842490013153E-2</v>
      </c>
      <c r="C54" s="4">
        <f t="shared" si="2"/>
        <v>6.534453781512628E-3</v>
      </c>
      <c r="D54" s="7">
        <f t="shared" si="0"/>
        <v>3416757.5333333332</v>
      </c>
      <c r="E54" s="2">
        <v>3372309</v>
      </c>
      <c r="F54" s="9">
        <f t="shared" si="4"/>
        <v>44448.533333333347</v>
      </c>
      <c r="G54" s="5">
        <v>6737.49</v>
      </c>
    </row>
    <row r="55" spans="1:7" ht="15.75" thickBot="1" x14ac:dyDescent="0.3">
      <c r="A55" s="1">
        <v>45975</v>
      </c>
      <c r="B55" s="4">
        <f t="shared" si="1"/>
        <v>-9.3648015940060447E-2</v>
      </c>
      <c r="C55" s="4">
        <f t="shared" si="2"/>
        <v>6.0295051353873585E-3</v>
      </c>
      <c r="D55" s="7">
        <f t="shared" si="0"/>
        <v>3374300.4</v>
      </c>
      <c r="E55" s="2">
        <v>3326779</v>
      </c>
      <c r="F55" s="9">
        <f t="shared" si="4"/>
        <v>47521.400000000016</v>
      </c>
      <c r="G55" s="5">
        <v>6734.11</v>
      </c>
    </row>
    <row r="56" spans="1:7" ht="15.75" thickBot="1" x14ac:dyDescent="0.3">
      <c r="A56" s="1">
        <v>45976</v>
      </c>
      <c r="B56" s="4">
        <f t="shared" si="1"/>
        <v>-9.1646948864255506E-2</v>
      </c>
      <c r="C56" s="4">
        <f t="shared" si="2"/>
        <v>-3.1880485527544522E-3</v>
      </c>
      <c r="D56" s="7">
        <f t="shared" si="0"/>
        <v>3381750.2666666666</v>
      </c>
      <c r="E56" s="2">
        <v>3331156</v>
      </c>
      <c r="F56" s="9">
        <f t="shared" si="4"/>
        <v>50594.266666666685</v>
      </c>
      <c r="G56" s="5">
        <v>6672.41</v>
      </c>
    </row>
    <row r="57" spans="1:7" ht="15.75" thickBot="1" x14ac:dyDescent="0.3">
      <c r="A57" s="1">
        <v>45977</v>
      </c>
      <c r="B57" s="4">
        <f t="shared" si="1"/>
        <v>-9.1476152270410171E-2</v>
      </c>
      <c r="C57" s="4">
        <f t="shared" si="2"/>
        <v>-3.1880485527544522E-3</v>
      </c>
      <c r="D57" s="7">
        <f t="shared" si="0"/>
        <v>3382386.1333333333</v>
      </c>
      <c r="E57" s="2">
        <v>3328719</v>
      </c>
      <c r="F57" s="9">
        <f t="shared" si="4"/>
        <v>53667.133333333353</v>
      </c>
      <c r="G57" s="5">
        <v>6672.41</v>
      </c>
    </row>
    <row r="58" spans="1:7" ht="15.75" thickBot="1" x14ac:dyDescent="0.3">
      <c r="A58" s="1">
        <v>45978</v>
      </c>
      <c r="B58" s="4">
        <f t="shared" si="1"/>
        <v>-0.10046342319673096</v>
      </c>
      <c r="C58" s="4">
        <f t="shared" si="2"/>
        <v>-3.1880485527544522E-3</v>
      </c>
      <c r="D58" s="7">
        <f t="shared" si="0"/>
        <v>3348927</v>
      </c>
      <c r="E58" s="2">
        <v>3292187</v>
      </c>
      <c r="F58" s="9">
        <f t="shared" si="4"/>
        <v>56740.000000000022</v>
      </c>
      <c r="G58" s="5">
        <v>6672.41</v>
      </c>
    </row>
    <row r="59" spans="1:7" ht="15.75" thickBot="1" x14ac:dyDescent="0.3">
      <c r="A59" s="1">
        <v>45979</v>
      </c>
      <c r="B59" s="4">
        <f t="shared" si="1"/>
        <v>-9.9638037644192434E-2</v>
      </c>
      <c r="C59" s="4">
        <f t="shared" si="2"/>
        <v>-1.1418113912231576E-2</v>
      </c>
      <c r="D59" s="7">
        <f t="shared" si="0"/>
        <v>3351999.8666666667</v>
      </c>
      <c r="E59" s="2">
        <v>3292187</v>
      </c>
      <c r="F59" s="9">
        <f t="shared" si="4"/>
        <v>59812.86666666669</v>
      </c>
      <c r="G59" s="5">
        <v>6617.32</v>
      </c>
    </row>
    <row r="60" spans="1:7" ht="15.75" thickBot="1" x14ac:dyDescent="0.3">
      <c r="A60" s="1">
        <v>45980</v>
      </c>
      <c r="B60" s="4">
        <f t="shared" si="1"/>
        <v>-0.1072954481131928</v>
      </c>
      <c r="C60" s="4">
        <f t="shared" si="2"/>
        <v>-7.7071895424837278E-3</v>
      </c>
      <c r="D60" s="7">
        <f t="shared" si="0"/>
        <v>3323491.7333333334</v>
      </c>
      <c r="E60" s="2">
        <v>3260606</v>
      </c>
      <c r="F60" s="9">
        <f t="shared" si="4"/>
        <v>62885.733333333359</v>
      </c>
      <c r="G60" s="5">
        <v>6642.16</v>
      </c>
    </row>
    <row r="61" spans="1:7" ht="15.75" thickBot="1" x14ac:dyDescent="0.3">
      <c r="A61" s="1">
        <v>45981</v>
      </c>
      <c r="B61" s="4">
        <f t="shared" si="1"/>
        <v>-0.11583495548016121</v>
      </c>
      <c r="C61" s="4">
        <f t="shared" si="2"/>
        <v>-2.3154435107376248E-2</v>
      </c>
      <c r="D61" s="7">
        <f t="shared" si="0"/>
        <v>3291699.6</v>
      </c>
      <c r="E61" s="2">
        <v>3225741</v>
      </c>
      <c r="F61" s="9">
        <f t="shared" si="4"/>
        <v>65958.60000000002</v>
      </c>
      <c r="G61" s="5">
        <v>6538.76</v>
      </c>
    </row>
    <row r="62" spans="1:7" ht="15.75" thickBot="1" x14ac:dyDescent="0.3">
      <c r="A62" s="1">
        <v>45982</v>
      </c>
      <c r="B62" s="4">
        <f t="shared" si="1"/>
        <v>-0.10493556135323256</v>
      </c>
      <c r="C62" s="4">
        <f t="shared" si="2"/>
        <v>-1.3558916900093365E-2</v>
      </c>
      <c r="D62" s="7">
        <f t="shared" si="0"/>
        <v>3332277.4666666668</v>
      </c>
      <c r="E62" s="2">
        <v>3263246</v>
      </c>
      <c r="F62" s="9">
        <f t="shared" si="4"/>
        <v>69031.466666666689</v>
      </c>
      <c r="G62" s="5">
        <v>6602.99</v>
      </c>
    </row>
    <row r="63" spans="1:7" ht="15.75" thickBot="1" x14ac:dyDescent="0.3">
      <c r="A63" s="1">
        <v>45983</v>
      </c>
      <c r="B63" s="4">
        <f t="shared" si="1"/>
        <v>-0.10454612076579828</v>
      </c>
      <c r="C63" s="4">
        <f t="shared" si="2"/>
        <v>1.6985994397757942E-3</v>
      </c>
      <c r="D63" s="7">
        <f t="shared" si="0"/>
        <v>3333727.3333333335</v>
      </c>
      <c r="E63" s="2">
        <v>3261623</v>
      </c>
      <c r="F63" s="9">
        <f t="shared" si="4"/>
        <v>72104.333333333358</v>
      </c>
      <c r="G63" s="5">
        <v>6705.12</v>
      </c>
    </row>
    <row r="64" spans="1:7" ht="15.75" thickBot="1" x14ac:dyDescent="0.3">
      <c r="A64" s="1">
        <v>45984</v>
      </c>
      <c r="B64" s="4">
        <f t="shared" si="1"/>
        <v>-0.10316767872333388</v>
      </c>
      <c r="C64" s="4">
        <f t="shared" si="2"/>
        <v>1.6985994397757942E-3</v>
      </c>
      <c r="D64" s="7">
        <f t="shared" si="0"/>
        <v>3338859.2</v>
      </c>
      <c r="E64" s="2">
        <v>3263682</v>
      </c>
      <c r="F64" s="9">
        <f t="shared" si="4"/>
        <v>75177.200000000026</v>
      </c>
      <c r="G64" s="5">
        <v>6705.12</v>
      </c>
    </row>
    <row r="65" spans="1:8" ht="15.75" thickBot="1" x14ac:dyDescent="0.3">
      <c r="A65" s="1">
        <v>45985</v>
      </c>
      <c r="B65" s="4">
        <f t="shared" si="1"/>
        <v>-9.1513506191018279E-2</v>
      </c>
      <c r="C65" s="4">
        <f t="shared" si="2"/>
        <v>1.6985994397757942E-3</v>
      </c>
      <c r="D65" s="7">
        <f t="shared" si="0"/>
        <v>3382247.0666666669</v>
      </c>
      <c r="E65" s="2">
        <v>3303997</v>
      </c>
      <c r="F65" s="9">
        <f t="shared" si="4"/>
        <v>78250.066666666695</v>
      </c>
      <c r="G65" s="5">
        <v>6705.12</v>
      </c>
    </row>
    <row r="66" spans="1:8" ht="15.75" thickBot="1" x14ac:dyDescent="0.3">
      <c r="A66" s="1">
        <v>45986</v>
      </c>
      <c r="B66" s="4">
        <f t="shared" si="1"/>
        <v>-9.3220254456124807E-2</v>
      </c>
      <c r="C66" s="4">
        <f t="shared" si="2"/>
        <v>1.0775723622782563E-2</v>
      </c>
      <c r="D66" s="7">
        <f t="shared" si="0"/>
        <v>3375892.9333333336</v>
      </c>
      <c r="E66" s="2">
        <v>3294570</v>
      </c>
      <c r="F66" s="9">
        <f t="shared" si="4"/>
        <v>81322.933333333363</v>
      </c>
      <c r="G66" s="5">
        <v>6765.88</v>
      </c>
    </row>
    <row r="67" spans="1:8" ht="15.75" thickBot="1" x14ac:dyDescent="0.3">
      <c r="A67" s="1">
        <v>45987</v>
      </c>
      <c r="B67" s="4">
        <f t="shared" si="1"/>
        <v>-8.323357813044352E-2</v>
      </c>
      <c r="C67" s="4">
        <f t="shared" si="2"/>
        <v>1.7756862745097912E-2</v>
      </c>
      <c r="D67" s="7">
        <f t="shared" ref="D67:D130" si="5">E67+F67</f>
        <v>3413072.8</v>
      </c>
      <c r="E67" s="2">
        <v>3328677</v>
      </c>
      <c r="F67" s="9">
        <f t="shared" si="4"/>
        <v>84395.800000000032</v>
      </c>
      <c r="G67" s="5">
        <v>6812.61</v>
      </c>
    </row>
    <row r="68" spans="1:8" ht="15.75" thickBot="1" x14ac:dyDescent="0.3">
      <c r="A68" s="1">
        <v>45988</v>
      </c>
      <c r="B68" s="4">
        <f t="shared" ref="B68:B131" si="6">(D68/$D$2)-1</f>
        <v>-8.3341861523500982E-2</v>
      </c>
      <c r="C68" s="4">
        <f t="shared" ref="C68:C131" si="7">(G68/$G$2)-1</f>
        <v>2.3206722689075754E-2</v>
      </c>
      <c r="D68" s="7">
        <f t="shared" si="5"/>
        <v>3412669.6666666665</v>
      </c>
      <c r="E68" s="2">
        <v>3325201</v>
      </c>
      <c r="F68" s="9">
        <f t="shared" si="4"/>
        <v>87468.666666666701</v>
      </c>
      <c r="G68" s="5">
        <v>6849.09</v>
      </c>
    </row>
    <row r="69" spans="1:8" ht="15.75" thickBot="1" x14ac:dyDescent="0.3">
      <c r="A69" s="1">
        <v>45989</v>
      </c>
      <c r="B69" s="4">
        <f t="shared" si="6"/>
        <v>-7.7387743276137622E-2</v>
      </c>
      <c r="C69" s="4">
        <f t="shared" si="7"/>
        <v>2.3206722689075754E-2</v>
      </c>
      <c r="D69" s="7">
        <f t="shared" si="5"/>
        <v>3434836.5333333332</v>
      </c>
      <c r="E69" s="2">
        <v>3344295</v>
      </c>
      <c r="F69" s="9">
        <f t="shared" si="4"/>
        <v>90541.533333333369</v>
      </c>
      <c r="G69" s="5">
        <v>6849.09</v>
      </c>
    </row>
    <row r="70" spans="1:8" ht="15.75" thickBot="1" x14ac:dyDescent="0.3">
      <c r="A70" s="1">
        <v>45990</v>
      </c>
      <c r="B70" s="4">
        <f t="shared" si="6"/>
        <v>-7.6745545934443937E-2</v>
      </c>
      <c r="C70" s="4">
        <f t="shared" si="7"/>
        <v>1.7759850606909433E-2</v>
      </c>
      <c r="D70" s="7">
        <f t="shared" si="5"/>
        <v>3437227.4</v>
      </c>
      <c r="E70" s="2">
        <v>3343613</v>
      </c>
      <c r="F70" s="9">
        <f t="shared" si="4"/>
        <v>93614.400000000038</v>
      </c>
      <c r="G70" s="5">
        <v>6812.63</v>
      </c>
    </row>
    <row r="71" spans="1:8" ht="15.75" thickBot="1" x14ac:dyDescent="0.3">
      <c r="A71" s="1">
        <v>45991</v>
      </c>
      <c r="B71" s="4">
        <f t="shared" si="6"/>
        <v>-7.2748210848377237E-2</v>
      </c>
      <c r="C71" s="4">
        <f t="shared" si="7"/>
        <v>1.7759850606909433E-2</v>
      </c>
      <c r="D71" s="7">
        <f t="shared" si="5"/>
        <v>3452109.2666666666</v>
      </c>
      <c r="E71" s="2">
        <v>3355422</v>
      </c>
      <c r="F71" s="9">
        <f t="shared" si="4"/>
        <v>96687.266666666706</v>
      </c>
      <c r="G71" s="5">
        <v>6812.63</v>
      </c>
    </row>
    <row r="72" spans="1:8" ht="15.75" thickBot="1" x14ac:dyDescent="0.3">
      <c r="A72" s="1">
        <v>45992</v>
      </c>
      <c r="B72" s="4">
        <f t="shared" si="6"/>
        <v>-7.192282529583871E-2</v>
      </c>
      <c r="C72" s="4">
        <f t="shared" si="7"/>
        <v>1.7759850606909433E-2</v>
      </c>
      <c r="D72" s="7">
        <f t="shared" si="5"/>
        <v>3455182.1333333333</v>
      </c>
      <c r="E72" s="2">
        <v>3355422</v>
      </c>
      <c r="F72" s="9">
        <f t="shared" si="4"/>
        <v>99760.133333333375</v>
      </c>
      <c r="G72" s="5">
        <v>6812.63</v>
      </c>
    </row>
    <row r="73" spans="1:8" ht="15.75" thickBot="1" x14ac:dyDescent="0.3">
      <c r="A73" s="1">
        <v>45993</v>
      </c>
      <c r="B73" s="4">
        <f t="shared" si="6"/>
        <v>-7.317724372654244E-2</v>
      </c>
      <c r="C73" s="4">
        <f t="shared" si="7"/>
        <v>2.0260690943043835E-2</v>
      </c>
      <c r="D73" s="7">
        <f t="shared" si="5"/>
        <v>3450512</v>
      </c>
      <c r="E73" s="2">
        <v>3347679</v>
      </c>
      <c r="F73" s="9">
        <f t="shared" si="4"/>
        <v>102833.00000000004</v>
      </c>
      <c r="G73" s="5">
        <v>6829.37</v>
      </c>
    </row>
    <row r="74" spans="1:8" ht="15.75" thickBot="1" x14ac:dyDescent="0.3">
      <c r="A74" s="1">
        <v>45994</v>
      </c>
      <c r="B74" s="4">
        <f t="shared" si="6"/>
        <v>-5.9844690241359855E-2</v>
      </c>
      <c r="C74" s="4">
        <f t="shared" si="7"/>
        <v>2.3300840336134554E-2</v>
      </c>
      <c r="D74" s="7">
        <f t="shared" si="5"/>
        <v>3500148.39</v>
      </c>
      <c r="E74" s="2">
        <v>3393744</v>
      </c>
      <c r="F74" s="9">
        <f>F73+(357139/100)</f>
        <v>106404.39000000004</v>
      </c>
      <c r="G74" s="5">
        <v>6849.72</v>
      </c>
      <c r="H74" t="s">
        <v>9</v>
      </c>
    </row>
    <row r="75" spans="1:8" ht="15.75" thickBot="1" x14ac:dyDescent="0.3">
      <c r="A75" s="1">
        <v>45995</v>
      </c>
      <c r="B75" s="4">
        <f t="shared" si="6"/>
        <v>-6.1597766500570583E-2</v>
      </c>
      <c r="C75" s="4">
        <f t="shared" si="7"/>
        <v>2.4406349206349098E-2</v>
      </c>
      <c r="D75" s="7">
        <f t="shared" si="5"/>
        <v>3493621.7800000003</v>
      </c>
      <c r="E75" s="2">
        <v>3383646</v>
      </c>
      <c r="F75" s="9">
        <f t="shared" ref="F75:F138" si="8">F74+(357139/100)</f>
        <v>109975.78000000004</v>
      </c>
      <c r="G75" s="5">
        <v>6857.12</v>
      </c>
    </row>
    <row r="76" spans="1:8" ht="15.75" thickBot="1" x14ac:dyDescent="0.3">
      <c r="A76" s="1">
        <v>45996</v>
      </c>
      <c r="B76" s="4">
        <f t="shared" si="6"/>
        <v>-8.548142909367229E-2</v>
      </c>
      <c r="C76" s="4">
        <f t="shared" si="7"/>
        <v>2.6390289449112814E-2</v>
      </c>
      <c r="D76" s="7">
        <f t="shared" si="5"/>
        <v>3404704.17</v>
      </c>
      <c r="E76" s="2">
        <v>3291157</v>
      </c>
      <c r="F76" s="9">
        <f t="shared" si="8"/>
        <v>113547.17000000004</v>
      </c>
      <c r="G76" s="5">
        <v>6870.4</v>
      </c>
    </row>
    <row r="77" spans="1:8" ht="15.75" thickBot="1" x14ac:dyDescent="0.3">
      <c r="A77" s="1">
        <v>45997</v>
      </c>
      <c r="B77" s="4">
        <f t="shared" si="6"/>
        <v>-8.4625282068210961E-2</v>
      </c>
      <c r="C77" s="4">
        <f t="shared" si="7"/>
        <v>2.2821288515406213E-2</v>
      </c>
      <c r="D77" s="7">
        <f t="shared" si="5"/>
        <v>3407891.56</v>
      </c>
      <c r="E77" s="2">
        <v>3290773</v>
      </c>
      <c r="F77" s="9">
        <f t="shared" si="8"/>
        <v>117118.56000000004</v>
      </c>
      <c r="G77" s="5">
        <v>6846.51</v>
      </c>
    </row>
    <row r="78" spans="1:8" ht="15.75" thickBot="1" x14ac:dyDescent="0.3">
      <c r="A78" s="1">
        <v>45998</v>
      </c>
      <c r="B78" s="4">
        <f t="shared" si="6"/>
        <v>-8.3274902919649341E-2</v>
      </c>
      <c r="C78" s="4">
        <f t="shared" si="7"/>
        <v>2.2821288515406213E-2</v>
      </c>
      <c r="D78" s="7">
        <f t="shared" si="5"/>
        <v>3412918.95</v>
      </c>
      <c r="E78" s="2">
        <v>3292229</v>
      </c>
      <c r="F78" s="9">
        <f t="shared" si="8"/>
        <v>120689.95000000004</v>
      </c>
      <c r="G78" s="5">
        <v>6846.51</v>
      </c>
    </row>
    <row r="79" spans="1:8" ht="15.75" thickBot="1" x14ac:dyDescent="0.3">
      <c r="A79" s="1">
        <v>45999</v>
      </c>
      <c r="B79" s="4">
        <f t="shared" si="6"/>
        <v>-8.2936087996955177E-2</v>
      </c>
      <c r="C79" s="4">
        <f t="shared" si="7"/>
        <v>2.2821288515406213E-2</v>
      </c>
      <c r="D79" s="7">
        <f t="shared" si="5"/>
        <v>3414180.34</v>
      </c>
      <c r="E79" s="2">
        <v>3289919</v>
      </c>
      <c r="F79" s="9">
        <f t="shared" si="8"/>
        <v>124261.34000000004</v>
      </c>
      <c r="G79" s="5">
        <v>6846.51</v>
      </c>
    </row>
    <row r="80" spans="1:8" ht="15.75" thickBot="1" x14ac:dyDescent="0.3">
      <c r="A80" s="1">
        <v>46000</v>
      </c>
      <c r="B80" s="4">
        <f t="shared" si="6"/>
        <v>-7.5841603439425809E-2</v>
      </c>
      <c r="C80" s="4">
        <f t="shared" si="7"/>
        <v>2.1924929971988805E-2</v>
      </c>
      <c r="D80" s="7">
        <f t="shared" si="5"/>
        <v>3440592.73</v>
      </c>
      <c r="E80" s="2">
        <v>3312760</v>
      </c>
      <c r="F80" s="9">
        <f t="shared" si="8"/>
        <v>127832.73000000004</v>
      </c>
      <c r="G80" s="5">
        <v>6840.51</v>
      </c>
    </row>
    <row r="81" spans="1:7" ht="15.75" thickBot="1" x14ac:dyDescent="0.3">
      <c r="A81" s="1">
        <v>46001</v>
      </c>
      <c r="B81" s="4">
        <f t="shared" si="6"/>
        <v>-7.4508952182236299E-2</v>
      </c>
      <c r="C81" s="4">
        <f t="shared" si="7"/>
        <v>2.8822408963585566E-2</v>
      </c>
      <c r="D81" s="7">
        <f t="shared" si="5"/>
        <v>3445554.12</v>
      </c>
      <c r="E81" s="2">
        <v>3314150</v>
      </c>
      <c r="F81" s="9">
        <f t="shared" si="8"/>
        <v>131404.12000000005</v>
      </c>
      <c r="G81" s="5">
        <v>6886.68</v>
      </c>
    </row>
    <row r="82" spans="1:7" ht="15.75" thickBot="1" x14ac:dyDescent="0.3">
      <c r="A82" s="1">
        <v>46002</v>
      </c>
      <c r="B82" s="4">
        <f t="shared" si="6"/>
        <v>-7.6857255824485216E-2</v>
      </c>
      <c r="C82" s="4">
        <f t="shared" si="7"/>
        <v>3.0961718020541484E-2</v>
      </c>
      <c r="D82" s="7">
        <f t="shared" si="5"/>
        <v>3436811.5100000002</v>
      </c>
      <c r="E82" s="2">
        <v>3301836</v>
      </c>
      <c r="F82" s="9">
        <f t="shared" si="8"/>
        <v>134975.51000000007</v>
      </c>
      <c r="G82" s="5">
        <v>6901</v>
      </c>
    </row>
    <row r="83" spans="1:7" ht="15.75" thickBot="1" x14ac:dyDescent="0.3">
      <c r="A83" s="1">
        <v>46003</v>
      </c>
      <c r="B83" s="4">
        <f t="shared" si="6"/>
        <v>-8.354835564406371E-2</v>
      </c>
      <c r="C83" s="4">
        <f t="shared" si="7"/>
        <v>1.9967880485527445E-2</v>
      </c>
      <c r="D83" s="7">
        <f t="shared" si="5"/>
        <v>3411900.9</v>
      </c>
      <c r="E83" s="2">
        <v>3273354</v>
      </c>
      <c r="F83" s="9">
        <f t="shared" si="8"/>
        <v>138546.90000000008</v>
      </c>
      <c r="G83" s="5">
        <v>6827.41</v>
      </c>
    </row>
    <row r="84" spans="1:7" ht="15.75" thickBot="1" x14ac:dyDescent="0.3">
      <c r="A84" s="1">
        <v>46004</v>
      </c>
      <c r="B84" s="4">
        <f t="shared" si="6"/>
        <v>-8.338091033796613E-2</v>
      </c>
      <c r="C84" s="4">
        <f t="shared" si="7"/>
        <v>1.8339495798319394E-2</v>
      </c>
      <c r="D84" s="7">
        <f t="shared" si="5"/>
        <v>3412524.29</v>
      </c>
      <c r="E84" s="2">
        <v>3270406</v>
      </c>
      <c r="F84" s="9">
        <f t="shared" si="8"/>
        <v>142118.2900000001</v>
      </c>
      <c r="G84" s="5">
        <v>6816.51</v>
      </c>
    </row>
    <row r="85" spans="1:7" ht="15.75" thickBot="1" x14ac:dyDescent="0.3">
      <c r="A85" s="1">
        <v>46005</v>
      </c>
      <c r="B85" s="4">
        <f t="shared" si="6"/>
        <v>-8.235097625617549E-2</v>
      </c>
      <c r="C85" s="4">
        <f t="shared" si="7"/>
        <v>1.8339495798319394E-2</v>
      </c>
      <c r="D85" s="7">
        <f t="shared" si="5"/>
        <v>3416358.68</v>
      </c>
      <c r="E85" s="2">
        <v>3270669</v>
      </c>
      <c r="F85" s="9">
        <f t="shared" si="8"/>
        <v>145689.68000000011</v>
      </c>
      <c r="G85" s="5">
        <v>6816.51</v>
      </c>
    </row>
    <row r="86" spans="1:7" ht="15.75" thickBot="1" x14ac:dyDescent="0.3">
      <c r="A86" s="1">
        <v>46006</v>
      </c>
      <c r="B86" s="4">
        <f t="shared" si="6"/>
        <v>-9.0933588364271567E-2</v>
      </c>
      <c r="C86" s="4">
        <f t="shared" si="7"/>
        <v>1.8339495798319394E-2</v>
      </c>
      <c r="D86" s="7">
        <f t="shared" si="5"/>
        <v>3384406.0700000003</v>
      </c>
      <c r="E86" s="2">
        <v>3235145</v>
      </c>
      <c r="F86" s="9">
        <f t="shared" si="8"/>
        <v>149261.07000000012</v>
      </c>
      <c r="G86" s="5">
        <v>6816.51</v>
      </c>
    </row>
    <row r="87" spans="1:7" ht="15.75" thickBot="1" x14ac:dyDescent="0.3">
      <c r="A87" s="1">
        <v>46007</v>
      </c>
      <c r="B87" s="4">
        <f t="shared" si="6"/>
        <v>-8.8644973995063547E-2</v>
      </c>
      <c r="C87" s="4">
        <f t="shared" si="7"/>
        <v>1.5911858076564034E-2</v>
      </c>
      <c r="D87" s="7">
        <f t="shared" si="5"/>
        <v>3392926.46</v>
      </c>
      <c r="E87" s="2">
        <v>3240094</v>
      </c>
      <c r="F87" s="9">
        <f t="shared" si="8"/>
        <v>152832.46000000014</v>
      </c>
      <c r="G87" s="5">
        <v>6800.26</v>
      </c>
    </row>
    <row r="88" spans="1:7" ht="15.75" thickBot="1" x14ac:dyDescent="0.3">
      <c r="A88" s="1">
        <v>46008</v>
      </c>
      <c r="B88" s="4">
        <f t="shared" si="6"/>
        <v>-9.7541853268391931E-2</v>
      </c>
      <c r="C88" s="4">
        <f t="shared" si="7"/>
        <v>4.135200746965495E-3</v>
      </c>
      <c r="D88" s="7">
        <f t="shared" si="5"/>
        <v>3359803.85</v>
      </c>
      <c r="E88" s="2">
        <v>3203400</v>
      </c>
      <c r="F88" s="9">
        <f t="shared" si="8"/>
        <v>156403.85000000015</v>
      </c>
      <c r="G88" s="5">
        <v>6721.43</v>
      </c>
    </row>
    <row r="89" spans="1:7" ht="15.75" thickBot="1" x14ac:dyDescent="0.3">
      <c r="A89" s="1">
        <v>46009</v>
      </c>
      <c r="B89" s="4">
        <f t="shared" si="6"/>
        <v>-9.5511904950567272E-2</v>
      </c>
      <c r="C89" s="4">
        <f t="shared" si="7"/>
        <v>1.2102334267040105E-2</v>
      </c>
      <c r="D89" s="7">
        <f t="shared" si="5"/>
        <v>3367361.24</v>
      </c>
      <c r="E89" s="2">
        <v>3207386</v>
      </c>
      <c r="F89" s="9">
        <f t="shared" si="8"/>
        <v>159975.24000000017</v>
      </c>
      <c r="G89" s="5">
        <v>6774.76</v>
      </c>
    </row>
    <row r="90" spans="1:7" ht="15.75" thickBot="1" x14ac:dyDescent="0.3">
      <c r="A90" s="1">
        <v>46010</v>
      </c>
      <c r="B90" s="4">
        <f t="shared" si="6"/>
        <v>-8.6296519934342286E-2</v>
      </c>
      <c r="C90" s="4">
        <f t="shared" si="7"/>
        <v>2.1027077497665747E-2</v>
      </c>
      <c r="D90" s="7">
        <f t="shared" si="5"/>
        <v>3401669.6300000004</v>
      </c>
      <c r="E90" s="2">
        <v>3238123</v>
      </c>
      <c r="F90" s="9">
        <f t="shared" si="8"/>
        <v>163546.63000000018</v>
      </c>
      <c r="G90" s="5">
        <v>6834.5</v>
      </c>
    </row>
    <row r="91" spans="1:7" ht="15.75" thickBot="1" x14ac:dyDescent="0.3">
      <c r="A91" s="1">
        <v>46011</v>
      </c>
      <c r="B91" s="4">
        <f t="shared" si="6"/>
        <v>-8.5275181193823046E-2</v>
      </c>
      <c r="C91" s="4">
        <f t="shared" si="7"/>
        <v>2.7598879551820721E-2</v>
      </c>
      <c r="D91" s="7">
        <f t="shared" si="5"/>
        <v>3405472.02</v>
      </c>
      <c r="E91" s="2">
        <v>3238354</v>
      </c>
      <c r="F91" s="9">
        <f t="shared" si="8"/>
        <v>167118.02000000019</v>
      </c>
      <c r="G91" s="5">
        <v>6878.49</v>
      </c>
    </row>
    <row r="92" spans="1:7" ht="15.75" thickBot="1" x14ac:dyDescent="0.3">
      <c r="A92" s="1">
        <v>46012</v>
      </c>
      <c r="B92" s="4">
        <f t="shared" si="6"/>
        <v>-8.3227236380211678E-2</v>
      </c>
      <c r="C92" s="4">
        <f t="shared" si="7"/>
        <v>2.7598879551820721E-2</v>
      </c>
      <c r="D92" s="7">
        <f t="shared" si="5"/>
        <v>3413096.41</v>
      </c>
      <c r="E92" s="2">
        <v>3242407</v>
      </c>
      <c r="F92" s="9">
        <f t="shared" si="8"/>
        <v>170689.41000000021</v>
      </c>
      <c r="G92" s="5">
        <v>6878.49</v>
      </c>
    </row>
    <row r="93" spans="1:7" ht="15.75" thickBot="1" x14ac:dyDescent="0.3">
      <c r="A93" s="1">
        <v>46013</v>
      </c>
      <c r="B93" s="4">
        <f t="shared" si="6"/>
        <v>-8.1649080687960285E-2</v>
      </c>
      <c r="C93" s="4">
        <f t="shared" si="7"/>
        <v>2.7598879551820721E-2</v>
      </c>
      <c r="D93" s="7">
        <f t="shared" si="5"/>
        <v>3418971.8000000003</v>
      </c>
      <c r="E93" s="2">
        <v>3244711</v>
      </c>
      <c r="F93" s="9">
        <f t="shared" si="8"/>
        <v>174260.80000000022</v>
      </c>
      <c r="G93" s="5">
        <v>6878.49</v>
      </c>
    </row>
    <row r="94" spans="1:7" ht="15.75" thickBot="1" x14ac:dyDescent="0.3">
      <c r="A94" s="1">
        <v>46014</v>
      </c>
      <c r="B94" s="4">
        <f t="shared" si="6"/>
        <v>-8.3542368451659299E-2</v>
      </c>
      <c r="C94" s="4">
        <f t="shared" si="7"/>
        <v>3.227488328664796E-2</v>
      </c>
      <c r="D94" s="7">
        <f t="shared" si="5"/>
        <v>3411923.1900000004</v>
      </c>
      <c r="E94" s="2">
        <v>3234091</v>
      </c>
      <c r="F94" s="9">
        <f t="shared" si="8"/>
        <v>177832.19000000024</v>
      </c>
      <c r="G94" s="5">
        <v>6909.79</v>
      </c>
    </row>
    <row r="95" spans="1:7" ht="15.75" thickBot="1" x14ac:dyDescent="0.3">
      <c r="A95" s="1">
        <v>46015</v>
      </c>
      <c r="B95" s="4">
        <f t="shared" si="6"/>
        <v>-8.2148206783496991E-2</v>
      </c>
      <c r="C95" s="4">
        <f t="shared" si="7"/>
        <v>3.5600373482726377E-2</v>
      </c>
      <c r="D95" s="7">
        <f t="shared" si="5"/>
        <v>3417113.58</v>
      </c>
      <c r="E95" s="2">
        <v>3235710</v>
      </c>
      <c r="F95" s="9">
        <f t="shared" si="8"/>
        <v>181403.58000000025</v>
      </c>
      <c r="G95" s="5">
        <v>6932.05</v>
      </c>
    </row>
    <row r="96" spans="1:7" ht="15.75" thickBot="1" x14ac:dyDescent="0.3">
      <c r="A96" s="1">
        <v>46016</v>
      </c>
      <c r="B96" s="4">
        <f t="shared" si="6"/>
        <v>-8.0777682303830756E-2</v>
      </c>
      <c r="C96" s="4">
        <f t="shared" si="7"/>
        <v>3.528515406162458E-2</v>
      </c>
      <c r="D96" s="7">
        <f t="shared" si="5"/>
        <v>3422215.97</v>
      </c>
      <c r="E96" s="2">
        <v>3237241</v>
      </c>
      <c r="F96" s="9">
        <f t="shared" si="8"/>
        <v>184974.97000000026</v>
      </c>
      <c r="G96" s="5">
        <v>6929.94</v>
      </c>
    </row>
    <row r="97" spans="1:7" ht="15.75" thickBot="1" x14ac:dyDescent="0.3">
      <c r="A97" s="1">
        <v>46017</v>
      </c>
      <c r="B97" s="4">
        <f t="shared" si="6"/>
        <v>-7.9580139067249589E-2</v>
      </c>
      <c r="C97" s="4">
        <f t="shared" si="7"/>
        <v>3.528515406162458E-2</v>
      </c>
      <c r="D97" s="7">
        <f t="shared" si="5"/>
        <v>3426674.3600000003</v>
      </c>
      <c r="E97" s="2">
        <v>3238128</v>
      </c>
      <c r="F97" s="9">
        <f t="shared" si="8"/>
        <v>188546.36000000028</v>
      </c>
      <c r="G97" s="5">
        <v>6929.94</v>
      </c>
    </row>
    <row r="98" spans="1:7" ht="15.75" thickBot="1" x14ac:dyDescent="0.3">
      <c r="A98" s="1">
        <v>46018</v>
      </c>
      <c r="B98" s="4">
        <f t="shared" si="6"/>
        <v>-7.8294493582637514E-2</v>
      </c>
      <c r="C98" s="4">
        <f t="shared" si="7"/>
        <v>3.1669841269841292E-2</v>
      </c>
      <c r="D98" s="7">
        <f t="shared" si="5"/>
        <v>3431460.7500000005</v>
      </c>
      <c r="E98" s="2">
        <v>3239343</v>
      </c>
      <c r="F98" s="9">
        <f t="shared" si="8"/>
        <v>192117.75000000029</v>
      </c>
      <c r="G98" s="5">
        <v>6905.74</v>
      </c>
    </row>
    <row r="99" spans="1:7" ht="15.75" thickBot="1" x14ac:dyDescent="0.3">
      <c r="A99" s="1">
        <v>46019</v>
      </c>
      <c r="B99" s="4">
        <f t="shared" si="6"/>
        <v>-7.7370658244664714E-2</v>
      </c>
      <c r="C99" s="4">
        <f t="shared" si="7"/>
        <v>3.1669841269841292E-2</v>
      </c>
      <c r="D99" s="7">
        <f t="shared" si="5"/>
        <v>3434900.14</v>
      </c>
      <c r="E99" s="2">
        <v>3239211</v>
      </c>
      <c r="F99" s="9">
        <f t="shared" si="8"/>
        <v>195689.14000000031</v>
      </c>
      <c r="G99" s="5">
        <v>6905.74</v>
      </c>
    </row>
    <row r="100" spans="1:7" ht="15.75" thickBot="1" x14ac:dyDescent="0.3">
      <c r="A100" s="1">
        <v>46020</v>
      </c>
      <c r="B100" s="4">
        <f t="shared" si="6"/>
        <v>-8.1134238548117854E-2</v>
      </c>
      <c r="C100" s="4">
        <f t="shared" si="7"/>
        <v>3.1669841269841292E-2</v>
      </c>
      <c r="D100" s="7">
        <f t="shared" si="5"/>
        <v>3420888.5300000003</v>
      </c>
      <c r="E100" s="2">
        <v>3221628</v>
      </c>
      <c r="F100" s="9">
        <f t="shared" si="8"/>
        <v>199260.53000000032</v>
      </c>
      <c r="G100" s="5">
        <v>6905.74</v>
      </c>
    </row>
    <row r="101" spans="1:7" ht="15.75" thickBot="1" x14ac:dyDescent="0.3">
      <c r="A101" s="1">
        <v>46021</v>
      </c>
      <c r="B101" s="4">
        <f t="shared" si="6"/>
        <v>-8.0549919190361696E-2</v>
      </c>
      <c r="C101" s="4">
        <f t="shared" si="7"/>
        <v>3.0250606909430378E-2</v>
      </c>
      <c r="D101" s="7">
        <f t="shared" si="5"/>
        <v>3423063.9200000004</v>
      </c>
      <c r="E101" s="2">
        <v>3220232</v>
      </c>
      <c r="F101" s="9">
        <f t="shared" si="8"/>
        <v>202831.92000000033</v>
      </c>
      <c r="G101" s="5">
        <v>6896.24</v>
      </c>
    </row>
    <row r="102" spans="1:7" ht="15.75" thickBot="1" x14ac:dyDescent="0.3">
      <c r="A102" s="1">
        <v>46022</v>
      </c>
      <c r="B102" s="4">
        <f t="shared" si="6"/>
        <v>-8.5083319746426578E-2</v>
      </c>
      <c r="C102" s="4">
        <f t="shared" si="7"/>
        <v>2.2670401493930958E-2</v>
      </c>
      <c r="D102" s="7">
        <f t="shared" si="5"/>
        <v>3406186.3100000005</v>
      </c>
      <c r="E102" s="2">
        <v>3199783</v>
      </c>
      <c r="F102" s="9">
        <f t="shared" si="8"/>
        <v>206403.31000000035</v>
      </c>
      <c r="G102" s="5">
        <v>6845.5</v>
      </c>
    </row>
    <row r="103" spans="1:7" ht="15.75" thickBot="1" x14ac:dyDescent="0.3">
      <c r="A103" s="1">
        <v>46023</v>
      </c>
      <c r="B103" s="4">
        <f t="shared" si="6"/>
        <v>-8.3845754452051002E-2</v>
      </c>
      <c r="C103" s="4">
        <f t="shared" si="7"/>
        <v>2.4608029878618209E-2</v>
      </c>
      <c r="D103" s="7">
        <f t="shared" si="5"/>
        <v>3410793.7</v>
      </c>
      <c r="E103" s="2">
        <v>3200819</v>
      </c>
      <c r="F103" s="9">
        <f t="shared" si="8"/>
        <v>209974.70000000036</v>
      </c>
      <c r="G103" s="5">
        <v>6858.47</v>
      </c>
    </row>
    <row r="104" spans="1:7" ht="15.75" thickBot="1" x14ac:dyDescent="0.3">
      <c r="A104" s="1">
        <v>46024</v>
      </c>
      <c r="B104" s="4">
        <f t="shared" si="6"/>
        <v>-7.6072506538502838E-2</v>
      </c>
      <c r="C104" s="4">
        <f t="shared" si="7"/>
        <v>2.4608029878618209E-2</v>
      </c>
      <c r="D104" s="7">
        <f t="shared" si="5"/>
        <v>3439733.0900000003</v>
      </c>
      <c r="E104" s="2">
        <v>3226187</v>
      </c>
      <c r="F104" s="9">
        <f t="shared" si="8"/>
        <v>213546.09000000037</v>
      </c>
      <c r="G104" s="5">
        <v>6858.47</v>
      </c>
    </row>
    <row r="105" spans="1:7" ht="15.75" thickBot="1" x14ac:dyDescent="0.3">
      <c r="A105" s="1">
        <v>46025</v>
      </c>
      <c r="B105" s="4">
        <f t="shared" si="6"/>
        <v>-7.518547000534781E-2</v>
      </c>
      <c r="C105" s="4">
        <f t="shared" si="7"/>
        <v>3.1118580765639559E-2</v>
      </c>
      <c r="D105" s="7">
        <f t="shared" si="5"/>
        <v>3443035.4800000004</v>
      </c>
      <c r="E105" s="2">
        <v>3225918</v>
      </c>
      <c r="F105" s="9">
        <f t="shared" si="8"/>
        <v>217117.48000000039</v>
      </c>
      <c r="G105" s="5">
        <v>6902.05</v>
      </c>
    </row>
    <row r="106" spans="1:7" ht="15.75" thickBot="1" x14ac:dyDescent="0.3">
      <c r="A106" s="1">
        <v>46026</v>
      </c>
      <c r="B106" s="4">
        <f t="shared" si="6"/>
        <v>-7.399061281291397E-2</v>
      </c>
      <c r="C106" s="4">
        <f t="shared" si="7"/>
        <v>3.1118580765639559E-2</v>
      </c>
      <c r="D106" s="7">
        <f t="shared" si="5"/>
        <v>3447483.8700000006</v>
      </c>
      <c r="E106" s="2">
        <v>3226795</v>
      </c>
      <c r="F106" s="9">
        <f t="shared" si="8"/>
        <v>220688.8700000004</v>
      </c>
      <c r="G106" s="5">
        <v>6902.05</v>
      </c>
    </row>
    <row r="107" spans="1:7" ht="15.75" thickBot="1" x14ac:dyDescent="0.3">
      <c r="A107" s="1">
        <v>46027</v>
      </c>
      <c r="B107" s="4">
        <f t="shared" si="6"/>
        <v>-6.3424684799434417E-2</v>
      </c>
      <c r="C107" s="4">
        <f t="shared" si="7"/>
        <v>3.1118580765639559E-2</v>
      </c>
      <c r="D107" s="7">
        <f t="shared" si="5"/>
        <v>3486820.2600000002</v>
      </c>
      <c r="E107" s="2">
        <v>3262560</v>
      </c>
      <c r="F107" s="9">
        <f t="shared" si="8"/>
        <v>224260.26000000042</v>
      </c>
      <c r="G107" s="5">
        <v>6902.05</v>
      </c>
    </row>
    <row r="108" spans="1:7" ht="15.75" thickBot="1" x14ac:dyDescent="0.3">
      <c r="A108" s="1">
        <v>46028</v>
      </c>
      <c r="B108" s="4">
        <f t="shared" si="6"/>
        <v>-5.9412435900913829E-2</v>
      </c>
      <c r="C108" s="4">
        <f t="shared" si="7"/>
        <v>3.7508123249299752E-2</v>
      </c>
      <c r="D108" s="7">
        <f t="shared" si="5"/>
        <v>3501757.6500000004</v>
      </c>
      <c r="E108" s="2">
        <v>3273926</v>
      </c>
      <c r="F108" s="9">
        <f t="shared" si="8"/>
        <v>227831.65000000043</v>
      </c>
      <c r="G108" s="5">
        <v>6944.82</v>
      </c>
    </row>
    <row r="109" spans="1:7" ht="15.75" thickBot="1" x14ac:dyDescent="0.3">
      <c r="A109" s="1">
        <v>46029</v>
      </c>
      <c r="B109" s="4">
        <f t="shared" si="6"/>
        <v>-5.8583417921340142E-2</v>
      </c>
      <c r="C109" s="4">
        <f t="shared" si="7"/>
        <v>3.3939122315592929E-2</v>
      </c>
      <c r="D109" s="7">
        <f t="shared" si="5"/>
        <v>3504844.0400000005</v>
      </c>
      <c r="E109" s="2">
        <v>3273441</v>
      </c>
      <c r="F109" s="9">
        <f t="shared" si="8"/>
        <v>231403.04000000044</v>
      </c>
      <c r="G109" s="5">
        <v>6920.93</v>
      </c>
    </row>
    <row r="110" spans="1:7" ht="15.75" thickBot="1" x14ac:dyDescent="0.3">
      <c r="A110" s="1">
        <v>46030</v>
      </c>
      <c r="B110" s="4">
        <f t="shared" si="6"/>
        <v>-5.388407892994429E-2</v>
      </c>
      <c r="C110" s="4">
        <f t="shared" si="7"/>
        <v>3.4018300653594791E-2</v>
      </c>
      <c r="D110" s="7">
        <f t="shared" si="5"/>
        <v>3522339.4300000006</v>
      </c>
      <c r="E110" s="2">
        <v>3287365</v>
      </c>
      <c r="F110" s="9">
        <f t="shared" si="8"/>
        <v>234974.43000000046</v>
      </c>
      <c r="G110" s="5">
        <v>6921.46</v>
      </c>
    </row>
    <row r="111" spans="1:7" ht="15.75" thickBot="1" x14ac:dyDescent="0.3">
      <c r="A111" s="1">
        <v>46031</v>
      </c>
      <c r="B111" s="4">
        <f t="shared" si="6"/>
        <v>-5.6150995434530726E-2</v>
      </c>
      <c r="C111" s="4">
        <f t="shared" si="7"/>
        <v>4.0714098972922441E-2</v>
      </c>
      <c r="D111" s="7">
        <f t="shared" si="5"/>
        <v>3513899.8200000003</v>
      </c>
      <c r="E111" s="2">
        <v>3275354</v>
      </c>
      <c r="F111" s="9">
        <f t="shared" si="8"/>
        <v>238545.82000000047</v>
      </c>
      <c r="G111" s="5">
        <v>6966.28</v>
      </c>
    </row>
    <row r="112" spans="1:7" ht="15.75" thickBot="1" x14ac:dyDescent="0.3">
      <c r="A112" s="1">
        <v>46032</v>
      </c>
      <c r="B112" s="4">
        <f t="shared" si="6"/>
        <v>-5.557204816506911E-2</v>
      </c>
      <c r="C112" s="4">
        <f t="shared" si="7"/>
        <v>4.2355929038282003E-2</v>
      </c>
      <c r="D112" s="7">
        <f t="shared" si="5"/>
        <v>3516055.2100000004</v>
      </c>
      <c r="E112" s="2">
        <v>3273938</v>
      </c>
      <c r="F112" s="9">
        <f t="shared" si="8"/>
        <v>242117.21000000049</v>
      </c>
      <c r="G112" s="5">
        <v>6977.27</v>
      </c>
    </row>
    <row r="113" spans="1:7" ht="15.75" thickBot="1" x14ac:dyDescent="0.3">
      <c r="A113" s="1">
        <v>46033</v>
      </c>
      <c r="B113" s="4">
        <f t="shared" si="6"/>
        <v>-5.4660031421344235E-2</v>
      </c>
      <c r="C113" s="4">
        <f t="shared" si="7"/>
        <v>4.2355929038282003E-2</v>
      </c>
      <c r="D113" s="7">
        <f t="shared" si="5"/>
        <v>3519450.6000000006</v>
      </c>
      <c r="E113" s="2">
        <v>3273762</v>
      </c>
      <c r="F113" s="9">
        <f t="shared" si="8"/>
        <v>245688.6000000005</v>
      </c>
      <c r="G113" s="5">
        <v>6977.27</v>
      </c>
    </row>
    <row r="114" spans="1:7" ht="15.75" thickBot="1" x14ac:dyDescent="0.3">
      <c r="A114" s="1">
        <v>46034</v>
      </c>
      <c r="B114" s="4">
        <f t="shared" si="6"/>
        <v>-5.0179605027952157E-2</v>
      </c>
      <c r="C114" s="4">
        <f t="shared" si="7"/>
        <v>4.2355929038282003E-2</v>
      </c>
      <c r="D114" s="7">
        <f t="shared" si="5"/>
        <v>3536130.9900000007</v>
      </c>
      <c r="E114" s="2">
        <v>3286871</v>
      </c>
      <c r="F114" s="9">
        <f t="shared" si="8"/>
        <v>249259.99000000051</v>
      </c>
      <c r="G114" s="5">
        <v>6977.27</v>
      </c>
    </row>
    <row r="115" spans="1:7" ht="15.75" thickBot="1" x14ac:dyDescent="0.3">
      <c r="A115" s="1">
        <v>46035</v>
      </c>
      <c r="B115" s="4">
        <f t="shared" si="6"/>
        <v>-4.1621495014567689E-2</v>
      </c>
      <c r="C115" s="4">
        <f t="shared" si="7"/>
        <v>4.033464052287572E-2</v>
      </c>
      <c r="D115" s="7">
        <f t="shared" si="5"/>
        <v>3567992.3800000004</v>
      </c>
      <c r="E115" s="2">
        <v>3315161</v>
      </c>
      <c r="F115" s="9">
        <f t="shared" si="8"/>
        <v>252831.38000000053</v>
      </c>
      <c r="G115" s="5">
        <v>6963.74</v>
      </c>
    </row>
    <row r="116" spans="1:7" ht="15.75" thickBot="1" x14ac:dyDescent="0.3">
      <c r="A116" s="1">
        <v>46036</v>
      </c>
      <c r="B116" s="4">
        <f t="shared" si="6"/>
        <v>-3.6576999350245831E-2</v>
      </c>
      <c r="C116" s="4">
        <f t="shared" si="7"/>
        <v>3.4786181139122352E-2</v>
      </c>
      <c r="D116" s="7">
        <f t="shared" si="5"/>
        <v>3586772.7700000005</v>
      </c>
      <c r="E116" s="2">
        <v>3330370</v>
      </c>
      <c r="F116" s="9">
        <f t="shared" si="8"/>
        <v>256402.77000000054</v>
      </c>
      <c r="G116" s="5">
        <v>6926.6</v>
      </c>
    </row>
    <row r="117" spans="1:7" ht="15.75" thickBot="1" x14ac:dyDescent="0.3">
      <c r="A117" s="1">
        <v>46037</v>
      </c>
      <c r="B117" s="4">
        <f t="shared" si="6"/>
        <v>-3.9879117269195463E-2</v>
      </c>
      <c r="C117" s="4">
        <f t="shared" si="7"/>
        <v>3.7455835667600468E-2</v>
      </c>
      <c r="D117" s="7">
        <f t="shared" si="5"/>
        <v>3574479.1600000006</v>
      </c>
      <c r="E117" s="2">
        <v>3314505</v>
      </c>
      <c r="F117" s="9">
        <f t="shared" si="8"/>
        <v>259974.16000000056</v>
      </c>
      <c r="G117" s="5">
        <v>6944.47</v>
      </c>
    </row>
    <row r="118" spans="1:7" ht="15.75" thickBot="1" x14ac:dyDescent="0.3">
      <c r="A118" s="1">
        <v>46038</v>
      </c>
      <c r="B118" s="4">
        <f t="shared" si="6"/>
        <v>-4.1249163633003461E-2</v>
      </c>
      <c r="C118" s="4">
        <f t="shared" si="7"/>
        <v>3.6789542483660176E-2</v>
      </c>
      <c r="D118" s="7">
        <f t="shared" si="5"/>
        <v>3569378.5500000007</v>
      </c>
      <c r="E118" s="2">
        <v>3305833</v>
      </c>
      <c r="F118" s="9">
        <f t="shared" si="8"/>
        <v>263545.55000000057</v>
      </c>
      <c r="G118" s="5">
        <v>6940.01</v>
      </c>
    </row>
    <row r="119" spans="1:7" ht="15.75" thickBot="1" x14ac:dyDescent="0.3">
      <c r="A119" s="1">
        <v>46039</v>
      </c>
      <c r="B119" s="4">
        <f t="shared" si="6"/>
        <v>-3.9643610290449938E-2</v>
      </c>
      <c r="C119" s="4">
        <f t="shared" si="7"/>
        <v>1.5403921568627466E-2</v>
      </c>
      <c r="D119" s="7">
        <f t="shared" si="5"/>
        <v>3575355.9400000004</v>
      </c>
      <c r="E119" s="2">
        <v>3308239</v>
      </c>
      <c r="F119" s="9">
        <f t="shared" si="8"/>
        <v>267116.94000000058</v>
      </c>
      <c r="G119" s="5">
        <v>6796.86</v>
      </c>
    </row>
    <row r="120" spans="1:7" ht="15.75" thickBot="1" x14ac:dyDescent="0.3">
      <c r="A120" s="1">
        <v>46040</v>
      </c>
      <c r="B120" s="4">
        <f t="shared" si="6"/>
        <v>-3.693382419894764E-2</v>
      </c>
      <c r="C120" s="4">
        <f t="shared" si="7"/>
        <v>1.5403921568627466E-2</v>
      </c>
      <c r="D120" s="7">
        <f t="shared" si="5"/>
        <v>3585444.3300000005</v>
      </c>
      <c r="E120" s="2">
        <v>3314756</v>
      </c>
      <c r="F120" s="9">
        <f t="shared" si="8"/>
        <v>270688.3300000006</v>
      </c>
      <c r="G120" s="5">
        <v>6796.86</v>
      </c>
    </row>
    <row r="121" spans="1:7" ht="15.75" thickBot="1" x14ac:dyDescent="0.3">
      <c r="A121" s="1">
        <v>46041</v>
      </c>
      <c r="B121" s="4">
        <f t="shared" si="6"/>
        <v>-3.6585876726152544E-2</v>
      </c>
      <c r="C121" s="4">
        <f t="shared" si="7"/>
        <v>1.5403921568627466E-2</v>
      </c>
      <c r="D121" s="7">
        <f t="shared" si="5"/>
        <v>3586739.7200000007</v>
      </c>
      <c r="E121" s="2">
        <v>3312480</v>
      </c>
      <c r="F121" s="9">
        <f t="shared" si="8"/>
        <v>274259.72000000061</v>
      </c>
      <c r="G121" s="5">
        <v>6796.86</v>
      </c>
    </row>
    <row r="122" spans="1:7" ht="15.75" thickBot="1" x14ac:dyDescent="0.3">
      <c r="A122" s="1">
        <v>46042</v>
      </c>
      <c r="B122" s="4">
        <f t="shared" si="6"/>
        <v>-4.8414841790656471E-2</v>
      </c>
      <c r="C122" s="4">
        <f t="shared" si="7"/>
        <v>1.5403921568627466E-2</v>
      </c>
      <c r="D122" s="7">
        <f t="shared" si="5"/>
        <v>3542701.1100000008</v>
      </c>
      <c r="E122" s="2">
        <v>3264870</v>
      </c>
      <c r="F122" s="9">
        <f t="shared" si="8"/>
        <v>277831.11000000063</v>
      </c>
      <c r="G122" s="5">
        <v>6796.86</v>
      </c>
    </row>
    <row r="123" spans="1:7" ht="15.75" thickBot="1" x14ac:dyDescent="0.3">
      <c r="A123" s="1">
        <v>46043</v>
      </c>
      <c r="B123" s="4">
        <f t="shared" si="6"/>
        <v>-4.2164043699789322E-2</v>
      </c>
      <c r="C123" s="4">
        <f t="shared" si="7"/>
        <v>2.7170121381886014E-2</v>
      </c>
      <c r="D123" s="7">
        <f t="shared" si="5"/>
        <v>3565972.5000000005</v>
      </c>
      <c r="E123" s="2">
        <v>3284570</v>
      </c>
      <c r="F123" s="9">
        <f t="shared" si="8"/>
        <v>281402.50000000064</v>
      </c>
      <c r="G123" s="5">
        <v>6875.62</v>
      </c>
    </row>
    <row r="124" spans="1:7" ht="15.75" thickBot="1" x14ac:dyDescent="0.3">
      <c r="A124" s="1">
        <v>46044</v>
      </c>
      <c r="B124" s="4">
        <f t="shared" si="6"/>
        <v>-3.6837513400002631E-2</v>
      </c>
      <c r="C124" s="4">
        <f t="shared" si="7"/>
        <v>3.2806722689075585E-2</v>
      </c>
      <c r="D124" s="7">
        <f t="shared" si="5"/>
        <v>3585802.8900000006</v>
      </c>
      <c r="E124" s="2">
        <v>3300829</v>
      </c>
      <c r="F124" s="9">
        <f t="shared" si="8"/>
        <v>284973.89000000065</v>
      </c>
      <c r="G124" s="5">
        <v>6913.35</v>
      </c>
    </row>
    <row r="125" spans="1:7" ht="15.75" thickBot="1" x14ac:dyDescent="0.3">
      <c r="A125" s="1">
        <v>46045</v>
      </c>
      <c r="B125" s="4">
        <f t="shared" si="6"/>
        <v>-6.5655707696080312E-2</v>
      </c>
      <c r="C125" s="4">
        <f t="shared" si="7"/>
        <v>3.314435107376279E-2</v>
      </c>
      <c r="D125" s="7">
        <f t="shared" si="5"/>
        <v>3478514.2800000007</v>
      </c>
      <c r="E125" s="2">
        <v>3189969</v>
      </c>
      <c r="F125" s="9">
        <f t="shared" si="8"/>
        <v>288545.28000000067</v>
      </c>
      <c r="G125" s="5">
        <v>6915.61</v>
      </c>
    </row>
    <row r="126" spans="1:7" ht="15.75" thickBot="1" x14ac:dyDescent="0.3">
      <c r="A126" s="1">
        <v>46046</v>
      </c>
      <c r="B126" s="4">
        <f t="shared" si="6"/>
        <v>-6.5054734864611108E-2</v>
      </c>
      <c r="C126" s="4">
        <f t="shared" si="7"/>
        <v>3.8316339869280958E-2</v>
      </c>
      <c r="D126" s="7">
        <f t="shared" si="5"/>
        <v>3480751.6700000009</v>
      </c>
      <c r="E126" s="2">
        <v>3188635</v>
      </c>
      <c r="F126" s="9">
        <f t="shared" si="8"/>
        <v>292116.67000000068</v>
      </c>
      <c r="G126" s="5">
        <v>6950.23</v>
      </c>
    </row>
    <row r="127" spans="1:7" ht="15.75" thickBot="1" x14ac:dyDescent="0.3">
      <c r="A127" s="1">
        <v>46047</v>
      </c>
      <c r="B127" s="4">
        <f t="shared" si="6"/>
        <v>-6.4815303575366356E-2</v>
      </c>
      <c r="C127" s="4">
        <f t="shared" si="7"/>
        <v>3.8316339869280958E-2</v>
      </c>
      <c r="D127" s="7">
        <f t="shared" si="5"/>
        <v>3481643.0600000005</v>
      </c>
      <c r="E127" s="2">
        <v>3185955</v>
      </c>
      <c r="F127" s="9">
        <f t="shared" si="8"/>
        <v>295688.0600000007</v>
      </c>
      <c r="G127" s="5">
        <v>6950.23</v>
      </c>
    </row>
    <row r="128" spans="1:7" ht="15.75" thickBot="1" x14ac:dyDescent="0.3">
      <c r="A128" s="1">
        <v>46048</v>
      </c>
      <c r="B128" s="4">
        <f t="shared" si="6"/>
        <v>-6.0967977787489191E-2</v>
      </c>
      <c r="C128" s="4">
        <f t="shared" si="7"/>
        <v>3.8316339869280958E-2</v>
      </c>
      <c r="D128" s="7">
        <f t="shared" si="5"/>
        <v>3495966.4500000007</v>
      </c>
      <c r="E128" s="2">
        <v>3196707</v>
      </c>
      <c r="F128" s="9">
        <f t="shared" si="8"/>
        <v>299259.45000000071</v>
      </c>
      <c r="G128" s="5">
        <v>6950.23</v>
      </c>
    </row>
    <row r="129" spans="1:7" ht="15.75" thickBot="1" x14ac:dyDescent="0.3">
      <c r="A129" s="1">
        <v>46049</v>
      </c>
      <c r="B129" s="4">
        <f t="shared" si="6"/>
        <v>-6.9423540007418683E-2</v>
      </c>
      <c r="C129" s="4">
        <f t="shared" si="7"/>
        <v>4.2554621848739593E-2</v>
      </c>
      <c r="D129" s="7">
        <f t="shared" si="5"/>
        <v>3464486.8400000008</v>
      </c>
      <c r="E129" s="2">
        <v>3161656</v>
      </c>
      <c r="F129" s="9">
        <f t="shared" si="8"/>
        <v>302830.84000000072</v>
      </c>
      <c r="G129" s="5">
        <v>6978.6</v>
      </c>
    </row>
    <row r="130" spans="1:7" ht="15.75" thickBot="1" x14ac:dyDescent="0.3">
      <c r="A130" s="1">
        <v>46050</v>
      </c>
      <c r="B130" s="4">
        <f t="shared" si="6"/>
        <v>-6.6394651871218957E-2</v>
      </c>
      <c r="C130" s="4">
        <f t="shared" si="7"/>
        <v>4.2469467787114912E-2</v>
      </c>
      <c r="D130" s="7">
        <f t="shared" si="5"/>
        <v>3475763.2300000009</v>
      </c>
      <c r="E130" s="2">
        <v>3169361</v>
      </c>
      <c r="F130" s="9">
        <f t="shared" si="8"/>
        <v>306402.23000000074</v>
      </c>
      <c r="G130" s="5">
        <v>6978.03</v>
      </c>
    </row>
    <row r="131" spans="1:7" ht="15.75" thickBot="1" x14ac:dyDescent="0.3">
      <c r="A131" s="1">
        <v>46051</v>
      </c>
      <c r="B131" s="4">
        <f t="shared" si="6"/>
        <v>-7.7375095589595988E-2</v>
      </c>
      <c r="C131" s="4">
        <f t="shared" si="7"/>
        <v>4.112194211017739E-2</v>
      </c>
      <c r="D131" s="7">
        <f t="shared" ref="D131:D175" si="9">E131+F131</f>
        <v>3434883.6200000006</v>
      </c>
      <c r="E131" s="2">
        <v>3124910</v>
      </c>
      <c r="F131" s="9">
        <f t="shared" si="8"/>
        <v>309973.62000000075</v>
      </c>
      <c r="G131" s="5">
        <v>6969.01</v>
      </c>
    </row>
    <row r="132" spans="1:7" ht="15.75" thickBot="1" x14ac:dyDescent="0.3">
      <c r="A132" s="1">
        <v>46052</v>
      </c>
      <c r="B132" s="4">
        <f t="shared" ref="B132:B175" si="10">(D132/$D$2)-1</f>
        <v>-8.7132583407714237E-2</v>
      </c>
      <c r="C132" s="4">
        <f t="shared" ref="C132:C164" si="11">(G132/$G$2)-1</f>
        <v>3.664313725490187E-2</v>
      </c>
      <c r="D132" s="7">
        <f t="shared" si="9"/>
        <v>3398557.0100000007</v>
      </c>
      <c r="E132" s="2">
        <v>3085012</v>
      </c>
      <c r="F132" s="9">
        <f t="shared" si="8"/>
        <v>313545.01000000077</v>
      </c>
      <c r="G132" s="5">
        <v>6939.03</v>
      </c>
    </row>
    <row r="133" spans="1:7" ht="15.75" thickBot="1" x14ac:dyDescent="0.3">
      <c r="A133" s="1">
        <v>46053</v>
      </c>
      <c r="B133" s="4">
        <f t="shared" si="10"/>
        <v>-8.7168203039151293E-2</v>
      </c>
      <c r="C133" s="4">
        <f t="shared" si="11"/>
        <v>4.2231932773109104E-2</v>
      </c>
      <c r="D133" s="7">
        <f t="shared" si="9"/>
        <v>3398424.4000000008</v>
      </c>
      <c r="E133" s="2">
        <v>3081308</v>
      </c>
      <c r="F133" s="9">
        <f t="shared" si="8"/>
        <v>317116.40000000078</v>
      </c>
      <c r="G133" s="5">
        <v>6976.44</v>
      </c>
    </row>
    <row r="134" spans="1:7" ht="15.75" thickBot="1" x14ac:dyDescent="0.3">
      <c r="A134" s="1">
        <v>46054</v>
      </c>
      <c r="B134" s="4">
        <f t="shared" si="10"/>
        <v>-8.6050972522573876E-2</v>
      </c>
      <c r="C134" s="4">
        <f t="shared" si="11"/>
        <v>4.2231932773109104E-2</v>
      </c>
      <c r="D134" s="7">
        <f t="shared" si="9"/>
        <v>3402583.790000001</v>
      </c>
      <c r="E134" s="2">
        <v>3081896</v>
      </c>
      <c r="F134" s="9">
        <f t="shared" si="8"/>
        <v>320687.79000000079</v>
      </c>
      <c r="G134" s="5">
        <v>6976.44</v>
      </c>
    </row>
    <row r="135" spans="1:7" ht="15.75" thickBot="1" x14ac:dyDescent="0.3">
      <c r="A135" s="1">
        <v>46055</v>
      </c>
      <c r="B135" s="4">
        <f t="shared" si="10"/>
        <v>-9.3741012160527548E-2</v>
      </c>
      <c r="C135" s="4">
        <f t="shared" si="11"/>
        <v>4.2231932773109104E-2</v>
      </c>
      <c r="D135" s="7">
        <f t="shared" si="9"/>
        <v>3373954.1800000006</v>
      </c>
      <c r="E135" s="2">
        <v>3049695</v>
      </c>
      <c r="F135" s="9">
        <f t="shared" si="8"/>
        <v>324259.18000000081</v>
      </c>
      <c r="G135" s="5">
        <v>6976.44</v>
      </c>
    </row>
    <row r="136" spans="1:7" ht="15.75" thickBot="1" x14ac:dyDescent="0.3">
      <c r="A136" s="1">
        <v>46056</v>
      </c>
      <c r="B136" s="4">
        <f t="shared" si="10"/>
        <v>-0.10194865250566265</v>
      </c>
      <c r="C136" s="4">
        <f t="shared" si="11"/>
        <v>3.3473015873015877E-2</v>
      </c>
      <c r="D136" s="7">
        <f t="shared" si="9"/>
        <v>3343397.5700000008</v>
      </c>
      <c r="E136" s="2">
        <v>3015567</v>
      </c>
      <c r="F136" s="9">
        <f t="shared" si="8"/>
        <v>327830.57000000082</v>
      </c>
      <c r="G136" s="5">
        <v>6917.81</v>
      </c>
    </row>
    <row r="137" spans="1:7" ht="15.75" thickBot="1" x14ac:dyDescent="0.3">
      <c r="A137" s="1">
        <v>46057</v>
      </c>
      <c r="B137" s="4">
        <f t="shared" si="10"/>
        <v>-0.10407159704395441</v>
      </c>
      <c r="C137" s="4">
        <f t="shared" si="11"/>
        <v>2.8230812324929966E-2</v>
      </c>
      <c r="D137" s="7">
        <f t="shared" si="9"/>
        <v>3335493.9600000009</v>
      </c>
      <c r="E137" s="2">
        <v>3004092</v>
      </c>
      <c r="F137" s="9">
        <f t="shared" si="8"/>
        <v>331401.96000000084</v>
      </c>
      <c r="G137" s="5">
        <v>6882.72</v>
      </c>
    </row>
    <row r="138" spans="1:7" ht="15.75" thickBot="1" x14ac:dyDescent="0.3">
      <c r="A138" s="1">
        <v>46058</v>
      </c>
      <c r="B138" s="4">
        <f t="shared" si="10"/>
        <v>-0.13652857534635843</v>
      </c>
      <c r="C138" s="4">
        <f t="shared" si="11"/>
        <v>1.5633986928104582E-2</v>
      </c>
      <c r="D138" s="7">
        <f t="shared" si="9"/>
        <v>3214658.350000001</v>
      </c>
      <c r="E138" s="2">
        <v>2879685</v>
      </c>
      <c r="F138" s="9">
        <f t="shared" si="8"/>
        <v>334973.35000000085</v>
      </c>
      <c r="G138" s="5">
        <v>6798.4</v>
      </c>
    </row>
    <row r="139" spans="1:7" ht="15.75" thickBot="1" x14ac:dyDescent="0.3">
      <c r="A139" s="1">
        <v>46059</v>
      </c>
      <c r="B139" s="4">
        <f t="shared" si="10"/>
        <v>-0.11266807182589478</v>
      </c>
      <c r="C139" s="4">
        <f t="shared" si="11"/>
        <v>3.5637721755368945E-2</v>
      </c>
      <c r="D139" s="7">
        <f t="shared" si="9"/>
        <v>3303489.7400000007</v>
      </c>
      <c r="E139" s="2">
        <v>2964945</v>
      </c>
      <c r="F139" s="9">
        <f t="shared" ref="F139:F172" si="12">F138+(357139/100)</f>
        <v>338544.74000000086</v>
      </c>
      <c r="G139" s="5">
        <v>6932.3</v>
      </c>
    </row>
    <row r="140" spans="1:7" ht="15.75" thickBot="1" x14ac:dyDescent="0.3">
      <c r="A140" s="1">
        <v>46060</v>
      </c>
      <c r="B140" s="4">
        <f t="shared" si="10"/>
        <v>-0.11079821173924831</v>
      </c>
      <c r="C140" s="4">
        <f t="shared" si="11"/>
        <v>4.0495985060690964E-2</v>
      </c>
      <c r="D140" s="7">
        <f t="shared" si="9"/>
        <v>3310451.1300000008</v>
      </c>
      <c r="E140" s="2">
        <v>2968335</v>
      </c>
      <c r="F140" s="9">
        <f t="shared" si="12"/>
        <v>342116.13000000088</v>
      </c>
      <c r="G140" s="5">
        <v>6964.82</v>
      </c>
    </row>
    <row r="141" spans="1:7" ht="15.75" thickBot="1" x14ac:dyDescent="0.3">
      <c r="A141" s="1">
        <v>46061</v>
      </c>
      <c r="B141" s="4">
        <f t="shared" si="10"/>
        <v>-0.10952169880473694</v>
      </c>
      <c r="C141" s="4">
        <f t="shared" si="11"/>
        <v>4.0495985060690964E-2</v>
      </c>
      <c r="D141" s="7">
        <f t="shared" si="9"/>
        <v>3315203.5200000009</v>
      </c>
      <c r="E141" s="2">
        <v>2969516</v>
      </c>
      <c r="F141" s="9">
        <f t="shared" si="12"/>
        <v>345687.52000000089</v>
      </c>
      <c r="G141" s="5">
        <v>6964.82</v>
      </c>
    </row>
    <row r="142" spans="1:7" ht="15.75" thickBot="1" x14ac:dyDescent="0.3">
      <c r="A142" s="1">
        <v>46062</v>
      </c>
      <c r="B142" s="4">
        <f t="shared" si="10"/>
        <v>-0.10018409877981038</v>
      </c>
      <c r="C142" s="4">
        <f t="shared" si="11"/>
        <v>4.0495985060690964E-2</v>
      </c>
      <c r="D142" s="7">
        <f t="shared" si="9"/>
        <v>3349966.9100000011</v>
      </c>
      <c r="E142" s="2">
        <v>3000708</v>
      </c>
      <c r="F142" s="9">
        <f t="shared" si="12"/>
        <v>349258.91000000091</v>
      </c>
      <c r="G142" s="5">
        <v>6964.82</v>
      </c>
    </row>
    <row r="143" spans="1:7" ht="15.75" thickBot="1" x14ac:dyDescent="0.3">
      <c r="A143" s="1">
        <v>46063</v>
      </c>
      <c r="B143" s="4">
        <f t="shared" si="10"/>
        <v>-0.10491707241601866</v>
      </c>
      <c r="C143" s="4">
        <f t="shared" si="11"/>
        <v>3.7058450046685509E-2</v>
      </c>
      <c r="D143" s="7">
        <f t="shared" si="9"/>
        <v>3332346.3000000007</v>
      </c>
      <c r="E143" s="2">
        <v>2979516</v>
      </c>
      <c r="F143" s="9">
        <f t="shared" si="12"/>
        <v>352830.30000000092</v>
      </c>
      <c r="G143" s="5">
        <v>6941.81</v>
      </c>
    </row>
    <row r="144" spans="1:7" ht="15.75" thickBot="1" x14ac:dyDescent="0.3">
      <c r="A144" s="1">
        <v>46064</v>
      </c>
      <c r="B144" s="4">
        <f t="shared" si="10"/>
        <v>-0.11132801783103519</v>
      </c>
      <c r="C144" s="4">
        <f t="shared" si="11"/>
        <v>3.7007656395891653E-2</v>
      </c>
      <c r="D144" s="7">
        <f t="shared" si="9"/>
        <v>3308478.6900000009</v>
      </c>
      <c r="E144" s="2">
        <v>2952077</v>
      </c>
      <c r="F144" s="9">
        <f t="shared" si="12"/>
        <v>356401.69000000093</v>
      </c>
      <c r="G144" s="5">
        <v>6941.47</v>
      </c>
    </row>
    <row r="145" spans="1:7" ht="15.75" thickBot="1" x14ac:dyDescent="0.3">
      <c r="A145" s="1">
        <v>46065</v>
      </c>
      <c r="B145" s="4">
        <f t="shared" si="10"/>
        <v>-0.11579775914080936</v>
      </c>
      <c r="C145" s="4">
        <f t="shared" si="11"/>
        <v>2.0767133520074754E-2</v>
      </c>
      <c r="D145" s="7">
        <f t="shared" si="9"/>
        <v>3291838.080000001</v>
      </c>
      <c r="E145" s="2">
        <v>2931865</v>
      </c>
      <c r="F145" s="9">
        <f t="shared" si="12"/>
        <v>359973.08000000095</v>
      </c>
      <c r="G145" s="5">
        <v>6832.76</v>
      </c>
    </row>
    <row r="146" spans="1:7" ht="15.75" thickBot="1" x14ac:dyDescent="0.3">
      <c r="A146" s="1">
        <v>46066</v>
      </c>
      <c r="B146" s="4">
        <f t="shared" si="10"/>
        <v>-0.10339001065553688</v>
      </c>
      <c r="C146" s="4">
        <f t="shared" si="11"/>
        <v>2.1276563958916972E-2</v>
      </c>
      <c r="D146" s="7">
        <f t="shared" si="9"/>
        <v>3338031.4700000011</v>
      </c>
      <c r="E146" s="2">
        <v>2974487</v>
      </c>
      <c r="F146" s="9">
        <f t="shared" si="12"/>
        <v>363544.47000000096</v>
      </c>
      <c r="G146" s="5">
        <v>6836.17</v>
      </c>
    </row>
    <row r="147" spans="1:7" ht="15.75" thickBot="1" x14ac:dyDescent="0.3">
      <c r="A147" s="1">
        <v>46067</v>
      </c>
      <c r="B147" s="4">
        <f t="shared" si="10"/>
        <v>-0.10150967499671615</v>
      </c>
      <c r="C147" s="4">
        <f t="shared" si="11"/>
        <v>2.2329785247432454E-2</v>
      </c>
      <c r="D147" s="7">
        <f t="shared" si="9"/>
        <v>3345031.8600000008</v>
      </c>
      <c r="E147" s="2">
        <v>2977916</v>
      </c>
      <c r="F147" s="9">
        <f t="shared" si="12"/>
        <v>367115.86000000098</v>
      </c>
      <c r="G147" s="5">
        <v>6843.22</v>
      </c>
    </row>
    <row r="148" spans="1:7" ht="15.75" thickBot="1" x14ac:dyDescent="0.3">
      <c r="A148" s="1">
        <v>46068</v>
      </c>
      <c r="B148" s="4">
        <f t="shared" si="10"/>
        <v>-0.10100647417220798</v>
      </c>
      <c r="C148" s="4">
        <f t="shared" si="11"/>
        <v>2.2329785247432454E-2</v>
      </c>
      <c r="D148" s="7">
        <f t="shared" si="9"/>
        <v>3346905.2500000009</v>
      </c>
      <c r="E148" s="2">
        <v>2976218</v>
      </c>
      <c r="F148" s="9">
        <f t="shared" si="12"/>
        <v>370687.25000000099</v>
      </c>
      <c r="G148" s="5">
        <v>6843.22</v>
      </c>
    </row>
    <row r="149" spans="1:7" ht="15.75" thickBot="1" x14ac:dyDescent="0.3">
      <c r="A149" s="1">
        <v>46069</v>
      </c>
      <c r="B149" s="4">
        <f t="shared" si="10"/>
        <v>-0.10020968872240166</v>
      </c>
      <c r="C149" s="4">
        <f t="shared" si="11"/>
        <v>2.2329785247432454E-2</v>
      </c>
      <c r="D149" s="7">
        <f t="shared" si="9"/>
        <v>3349871.6400000011</v>
      </c>
      <c r="E149" s="2">
        <v>2975613</v>
      </c>
      <c r="F149" s="9">
        <f t="shared" si="12"/>
        <v>374258.640000001</v>
      </c>
      <c r="G149" s="5">
        <v>6843.22</v>
      </c>
    </row>
    <row r="150" spans="1:7" ht="15.75" thickBot="1" x14ac:dyDescent="0.3">
      <c r="A150" s="1">
        <v>46070</v>
      </c>
      <c r="B150" s="4">
        <f t="shared" si="10"/>
        <v>-0.10491633912596632</v>
      </c>
      <c r="C150" s="4">
        <f t="shared" si="11"/>
        <v>2.2329785247432454E-2</v>
      </c>
      <c r="D150" s="7">
        <f t="shared" si="9"/>
        <v>3332349.0300000012</v>
      </c>
      <c r="E150" s="2">
        <v>2954519</v>
      </c>
      <c r="F150" s="9">
        <f t="shared" si="12"/>
        <v>377830.03000000102</v>
      </c>
      <c r="G150" s="5">
        <v>6843.22</v>
      </c>
    </row>
    <row r="151" spans="1:7" ht="15.75" thickBot="1" x14ac:dyDescent="0.3">
      <c r="A151" s="1">
        <v>46071</v>
      </c>
      <c r="B151" s="4">
        <f t="shared" si="10"/>
        <v>-0.10497747617680275</v>
      </c>
      <c r="C151" s="4">
        <f t="shared" si="11"/>
        <v>2.8020168067226958E-2</v>
      </c>
      <c r="D151" s="7">
        <f t="shared" si="9"/>
        <v>3332121.4200000009</v>
      </c>
      <c r="E151" s="2">
        <v>2950720</v>
      </c>
      <c r="F151" s="9">
        <f t="shared" si="12"/>
        <v>381401.42000000103</v>
      </c>
      <c r="G151" s="5">
        <v>6881.31</v>
      </c>
    </row>
    <row r="152" spans="1:7" ht="15.75" thickBot="1" x14ac:dyDescent="0.3">
      <c r="A152" s="1">
        <v>46072</v>
      </c>
      <c r="B152" s="4">
        <f t="shared" si="10"/>
        <v>-0.10058756947117409</v>
      </c>
      <c r="C152" s="4">
        <f t="shared" si="11"/>
        <v>2.5118954248366077E-2</v>
      </c>
      <c r="D152" s="7">
        <f t="shared" si="9"/>
        <v>3348464.810000001</v>
      </c>
      <c r="E152" s="2">
        <v>2963492</v>
      </c>
      <c r="F152" s="9">
        <f t="shared" si="12"/>
        <v>384972.81000000105</v>
      </c>
      <c r="G152" s="5">
        <v>6861.89</v>
      </c>
    </row>
    <row r="153" spans="1:7" ht="15.75" thickBot="1" x14ac:dyDescent="0.3">
      <c r="A153" s="1">
        <v>46073</v>
      </c>
      <c r="B153" s="4">
        <f t="shared" si="10"/>
        <v>-9.3727307963287876E-2</v>
      </c>
      <c r="C153" s="4">
        <f t="shared" si="11"/>
        <v>3.2233053221288444E-2</v>
      </c>
      <c r="D153" s="7">
        <f t="shared" si="9"/>
        <v>3374005.2000000011</v>
      </c>
      <c r="E153" s="2">
        <v>2985461</v>
      </c>
      <c r="F153" s="9">
        <f t="shared" si="12"/>
        <v>388544.20000000106</v>
      </c>
      <c r="G153" s="5">
        <v>6909.51</v>
      </c>
    </row>
    <row r="154" spans="1:7" ht="15.75" thickBot="1" x14ac:dyDescent="0.3">
      <c r="A154" s="1">
        <v>46074</v>
      </c>
      <c r="B154" s="4">
        <f t="shared" si="10"/>
        <v>-9.2799443559094086E-2</v>
      </c>
      <c r="C154" s="4">
        <f t="shared" si="11"/>
        <v>2.1512605042016908E-2</v>
      </c>
      <c r="D154" s="7">
        <f t="shared" si="9"/>
        <v>3377459.5900000012</v>
      </c>
      <c r="E154" s="2">
        <v>2985344</v>
      </c>
      <c r="F154" s="9">
        <f t="shared" si="12"/>
        <v>392115.59000000107</v>
      </c>
      <c r="G154" s="5">
        <v>6837.75</v>
      </c>
    </row>
    <row r="155" spans="1:7" ht="15.75" thickBot="1" x14ac:dyDescent="0.3">
      <c r="A155" s="1">
        <v>46075</v>
      </c>
      <c r="B155" s="4">
        <f t="shared" si="10"/>
        <v>-9.2160597505148267E-2</v>
      </c>
      <c r="C155" s="4">
        <f t="shared" si="11"/>
        <v>2.1512605042016908E-2</v>
      </c>
      <c r="D155" s="7">
        <f t="shared" si="9"/>
        <v>3379837.9800000009</v>
      </c>
      <c r="E155" s="2">
        <v>2984151</v>
      </c>
      <c r="F155" s="9">
        <f t="shared" si="12"/>
        <v>395686.98000000109</v>
      </c>
      <c r="G155" s="5">
        <v>6837.75</v>
      </c>
    </row>
    <row r="156" spans="1:7" ht="15.75" thickBot="1" x14ac:dyDescent="0.3">
      <c r="A156" s="1">
        <v>46076</v>
      </c>
      <c r="B156" s="4">
        <f t="shared" si="10"/>
        <v>-0.10123206964805009</v>
      </c>
      <c r="C156" s="4">
        <f t="shared" si="11"/>
        <v>2.1512605042016908E-2</v>
      </c>
      <c r="D156" s="7">
        <f t="shared" si="9"/>
        <v>3346065.370000001</v>
      </c>
      <c r="E156" s="2">
        <v>2946807</v>
      </c>
      <c r="F156" s="9">
        <f t="shared" si="12"/>
        <v>399258.3700000011</v>
      </c>
      <c r="G156" s="5">
        <v>6837.75</v>
      </c>
    </row>
    <row r="157" spans="1:7" ht="15.75" thickBot="1" x14ac:dyDescent="0.3">
      <c r="A157" s="1">
        <v>46077</v>
      </c>
      <c r="B157" s="4">
        <f t="shared" si="10"/>
        <v>-9.6672942161142417E-2</v>
      </c>
      <c r="C157" s="4">
        <f t="shared" si="11"/>
        <v>2.9328851540616263E-2</v>
      </c>
      <c r="D157" s="7">
        <f t="shared" si="9"/>
        <v>3363038.7600000012</v>
      </c>
      <c r="E157" s="2">
        <v>2960209</v>
      </c>
      <c r="F157" s="9">
        <f t="shared" si="12"/>
        <v>402829.76000000112</v>
      </c>
      <c r="G157" s="5">
        <v>6890.07</v>
      </c>
    </row>
    <row r="158" spans="1:7" ht="15.75" thickBot="1" x14ac:dyDescent="0.3">
      <c r="A158" s="1">
        <v>46078</v>
      </c>
      <c r="B158" s="4">
        <f t="shared" si="10"/>
        <v>-8.2874897225235444E-2</v>
      </c>
      <c r="C158" s="4">
        <f t="shared" si="11"/>
        <v>3.7703828197945821E-2</v>
      </c>
      <c r="D158" s="7">
        <f t="shared" si="9"/>
        <v>3414408.1500000013</v>
      </c>
      <c r="E158" s="2">
        <v>3008007</v>
      </c>
      <c r="F158" s="9">
        <f t="shared" si="12"/>
        <v>406401.15000000113</v>
      </c>
      <c r="G158" s="5">
        <v>6946.13</v>
      </c>
    </row>
    <row r="159" spans="1:7" ht="15.75" thickBot="1" x14ac:dyDescent="0.3">
      <c r="A159" s="1">
        <v>46079</v>
      </c>
      <c r="B159" s="4">
        <f t="shared" si="10"/>
        <v>-8.3900324124946968E-2</v>
      </c>
      <c r="C159" s="4">
        <f t="shared" si="11"/>
        <v>3.2135947712418345E-2</v>
      </c>
      <c r="D159" s="7">
        <f t="shared" si="9"/>
        <v>3410590.540000001</v>
      </c>
      <c r="E159" s="2">
        <v>3000618</v>
      </c>
      <c r="F159" s="9">
        <f t="shared" si="12"/>
        <v>409972.54000000114</v>
      </c>
      <c r="G159" s="5">
        <v>6908.86</v>
      </c>
    </row>
    <row r="160" spans="1:7" ht="15.75" thickBot="1" x14ac:dyDescent="0.3">
      <c r="A160" s="1">
        <v>46080</v>
      </c>
      <c r="B160" s="4">
        <f t="shared" si="10"/>
        <v>-8.754491267267539E-2</v>
      </c>
      <c r="C160" s="4">
        <f t="shared" si="11"/>
        <v>2.7657142857142825E-2</v>
      </c>
      <c r="D160" s="7">
        <f t="shared" si="9"/>
        <v>3397021.9300000011</v>
      </c>
      <c r="E160" s="2">
        <v>2983478</v>
      </c>
      <c r="F160" s="9">
        <f t="shared" si="12"/>
        <v>413543.93000000116</v>
      </c>
      <c r="G160" s="5">
        <v>6878.88</v>
      </c>
    </row>
    <row r="161" spans="1:7" ht="15.75" thickBot="1" x14ac:dyDescent="0.3">
      <c r="A161" s="1">
        <v>46081</v>
      </c>
      <c r="B161" s="4">
        <f t="shared" si="10"/>
        <v>-8.4596068652064815E-2</v>
      </c>
      <c r="C161" s="4">
        <f t="shared" si="11"/>
        <v>2.8066479925303423E-2</v>
      </c>
      <c r="D161" s="7">
        <f t="shared" si="9"/>
        <v>3408000.3200000012</v>
      </c>
      <c r="E161" s="2">
        <v>2990885</v>
      </c>
      <c r="F161" s="9">
        <f t="shared" si="12"/>
        <v>417115.32000000117</v>
      </c>
      <c r="G161" s="5">
        <v>6881.62</v>
      </c>
    </row>
    <row r="162" spans="1:7" ht="15.75" thickBot="1" x14ac:dyDescent="0.3">
      <c r="A162" s="1">
        <v>46082</v>
      </c>
      <c r="B162" s="4">
        <f t="shared" si="10"/>
        <v>-8.4135038720669075E-2</v>
      </c>
      <c r="C162" s="4">
        <f t="shared" si="11"/>
        <v>2.8066479925303423E-2</v>
      </c>
      <c r="D162" s="7">
        <f t="shared" si="9"/>
        <v>3409716.7100000014</v>
      </c>
      <c r="E162" s="2">
        <v>2989030</v>
      </c>
      <c r="F162" s="9">
        <f t="shared" si="12"/>
        <v>420686.71000000119</v>
      </c>
      <c r="G162" s="5">
        <v>6881.62</v>
      </c>
    </row>
    <row r="163" spans="1:7" ht="15.75" thickBot="1" x14ac:dyDescent="0.3">
      <c r="A163" s="1">
        <v>46083</v>
      </c>
      <c r="B163" s="4">
        <f t="shared" si="10"/>
        <v>-7.5434836971893238E-2</v>
      </c>
      <c r="C163" s="4">
        <f t="shared" si="11"/>
        <v>2.8066479925303423E-2</v>
      </c>
      <c r="D163" s="7">
        <f t="shared" si="9"/>
        <v>3442107.100000001</v>
      </c>
      <c r="E163" s="2">
        <v>3017849</v>
      </c>
      <c r="F163" s="9">
        <f t="shared" si="12"/>
        <v>424258.1000000012</v>
      </c>
      <c r="G163" s="5">
        <v>6881.62</v>
      </c>
    </row>
    <row r="164" spans="1:7" ht="15.75" thickBot="1" x14ac:dyDescent="0.3">
      <c r="A164" s="1">
        <v>46084</v>
      </c>
      <c r="B164" s="4">
        <f t="shared" si="10"/>
        <v>-8.1893593972731549E-2</v>
      </c>
      <c r="C164" s="4">
        <f t="shared" si="11"/>
        <v>1.8357422969187631E-2</v>
      </c>
      <c r="D164" s="7">
        <f t="shared" si="9"/>
        <v>3418061.4900000012</v>
      </c>
      <c r="E164" s="2">
        <v>2990232</v>
      </c>
      <c r="F164" s="9">
        <f t="shared" si="12"/>
        <v>427829.49000000121</v>
      </c>
      <c r="G164" s="5">
        <v>6816.63</v>
      </c>
    </row>
    <row r="165" spans="1:7" ht="15.75" thickBot="1" x14ac:dyDescent="0.3">
      <c r="A165" s="1">
        <v>46085</v>
      </c>
      <c r="B165" s="4">
        <f t="shared" si="10"/>
        <v>-7.4450998093714138E-2</v>
      </c>
      <c r="C165" s="4">
        <f t="shared" ref="C165" si="13">(G165/$G$2)-1</f>
        <v>1.8357422969187631E-2</v>
      </c>
      <c r="D165" s="7">
        <f t="shared" si="9"/>
        <v>3445769.8800000013</v>
      </c>
      <c r="E165" s="6">
        <v>3014369</v>
      </c>
      <c r="F165" s="9">
        <f t="shared" si="12"/>
        <v>431400.88000000123</v>
      </c>
      <c r="G165" s="5">
        <v>6816.63</v>
      </c>
    </row>
    <row r="166" spans="1:7" ht="15.75" thickBot="1" x14ac:dyDescent="0.3">
      <c r="A166" s="1">
        <v>46086</v>
      </c>
      <c r="B166" s="4">
        <f t="shared" si="10"/>
        <v>-7.7552737119276349E-2</v>
      </c>
      <c r="C166" s="4">
        <f t="shared" ref="C166:C175" si="14">(G166/$G$2)-1</f>
        <v>2.0460877684407075E-2</v>
      </c>
      <c r="D166" s="7">
        <f t="shared" si="9"/>
        <v>3434222.2700000014</v>
      </c>
      <c r="E166" s="2">
        <v>2999250</v>
      </c>
      <c r="F166" s="9">
        <f t="shared" si="12"/>
        <v>434972.27000000124</v>
      </c>
      <c r="G166" s="5">
        <v>6830.71</v>
      </c>
    </row>
    <row r="167" spans="1:7" ht="15.75" thickBot="1" x14ac:dyDescent="0.3">
      <c r="A167" s="1">
        <v>46087</v>
      </c>
      <c r="B167" s="4">
        <f t="shared" si="10"/>
        <v>-8.3802788489870772E-2</v>
      </c>
      <c r="C167" s="4">
        <f t="shared" si="14"/>
        <v>6.9124183006536999E-3</v>
      </c>
      <c r="D167" s="7">
        <f t="shared" si="9"/>
        <v>3410953.6600000011</v>
      </c>
      <c r="E167" s="2">
        <v>2972410</v>
      </c>
      <c r="F167" s="9">
        <f t="shared" si="12"/>
        <v>438543.66000000125</v>
      </c>
      <c r="G167" s="5">
        <v>6740.02</v>
      </c>
    </row>
    <row r="168" spans="1:7" ht="15.75" thickBot="1" x14ac:dyDescent="0.3">
      <c r="A168" s="1">
        <v>46088</v>
      </c>
      <c r="B168" s="4">
        <f t="shared" si="10"/>
        <v>-8.3398434089982709E-2</v>
      </c>
      <c r="C168" s="4">
        <f t="shared" si="14"/>
        <v>1.5273949579831969E-2</v>
      </c>
      <c r="D168" s="7">
        <f t="shared" si="9"/>
        <v>3412459.0500000012</v>
      </c>
      <c r="E168" s="2">
        <v>2970344</v>
      </c>
      <c r="F168" s="9">
        <f t="shared" si="12"/>
        <v>442115.05000000127</v>
      </c>
      <c r="G168" s="5">
        <v>6795.99</v>
      </c>
    </row>
    <row r="169" spans="1:7" ht="15.75" thickBot="1" x14ac:dyDescent="0.3">
      <c r="A169" s="1">
        <v>46089</v>
      </c>
      <c r="B169" s="4">
        <f t="shared" si="10"/>
        <v>-0.14204299980633583</v>
      </c>
      <c r="C169" s="4">
        <f t="shared" si="14"/>
        <v>1.5273949579831969E-2</v>
      </c>
      <c r="D169" s="7">
        <f t="shared" si="9"/>
        <v>3194128.4400000013</v>
      </c>
      <c r="E169" s="2">
        <v>2748442</v>
      </c>
      <c r="F169" s="9">
        <f t="shared" si="12"/>
        <v>445686.44000000128</v>
      </c>
      <c r="G169" s="5">
        <v>6795.99</v>
      </c>
    </row>
    <row r="170" spans="1:7" ht="15.75" thickBot="1" x14ac:dyDescent="0.3">
      <c r="A170" s="1">
        <v>46090</v>
      </c>
      <c r="B170" s="4">
        <f t="shared" si="10"/>
        <v>-0.13547900896789522</v>
      </c>
      <c r="C170" s="4">
        <f t="shared" si="14"/>
        <v>1.5273949579831969E-2</v>
      </c>
      <c r="D170" s="7">
        <f t="shared" si="9"/>
        <v>3218565.8300000015</v>
      </c>
      <c r="E170" s="2">
        <v>2769308</v>
      </c>
      <c r="F170" s="9">
        <f t="shared" si="12"/>
        <v>449257.8300000013</v>
      </c>
      <c r="G170" s="5">
        <v>6795.99</v>
      </c>
    </row>
    <row r="171" spans="1:7" ht="15.75" thickBot="1" x14ac:dyDescent="0.3">
      <c r="A171" s="1">
        <v>46091</v>
      </c>
      <c r="B171" s="4">
        <f t="shared" si="10"/>
        <v>-0.13564140988308426</v>
      </c>
      <c r="C171" s="4">
        <f t="shared" si="14"/>
        <v>1.3106255835667602E-2</v>
      </c>
      <c r="D171" s="7">
        <f t="shared" si="9"/>
        <v>3217961.2200000011</v>
      </c>
      <c r="E171" s="2">
        <v>2765132</v>
      </c>
      <c r="F171" s="9">
        <f t="shared" si="12"/>
        <v>452829.22000000131</v>
      </c>
      <c r="G171" s="5">
        <v>6781.48</v>
      </c>
    </row>
    <row r="172" spans="1:7" ht="15.75" thickBot="1" x14ac:dyDescent="0.3">
      <c r="A172" s="1">
        <v>46092</v>
      </c>
      <c r="B172" s="4">
        <f t="shared" si="10"/>
        <v>-0.13369956381329062</v>
      </c>
      <c r="C172" s="4">
        <f t="shared" si="14"/>
        <v>1.2257703081232529E-2</v>
      </c>
      <c r="D172" s="7">
        <f t="shared" si="9"/>
        <v>3225190.6100000013</v>
      </c>
      <c r="E172" s="2">
        <v>2768790</v>
      </c>
      <c r="F172" s="9">
        <f t="shared" si="12"/>
        <v>456400.61000000132</v>
      </c>
      <c r="G172" s="5">
        <v>6775.8</v>
      </c>
    </row>
    <row r="173" spans="1:7" ht="15.75" thickBot="1" x14ac:dyDescent="0.3">
      <c r="A173" s="1">
        <v>46093</v>
      </c>
      <c r="B173" s="4">
        <f t="shared" si="10"/>
        <v>-0.13882872896122311</v>
      </c>
      <c r="C173" s="4">
        <f t="shared" si="14"/>
        <v>-3.1566760037348152E-3</v>
      </c>
      <c r="D173" s="7">
        <f t="shared" si="9"/>
        <v>3206095.0000000014</v>
      </c>
      <c r="E173" s="2">
        <v>2746123</v>
      </c>
      <c r="F173" s="9">
        <f>F172+(357139/100)</f>
        <v>459972.00000000134</v>
      </c>
      <c r="G173" s="5">
        <v>6672.62</v>
      </c>
    </row>
    <row r="174" spans="1:7" ht="15.75" thickBot="1" x14ac:dyDescent="0.3">
      <c r="A174" s="1">
        <v>46094</v>
      </c>
      <c r="B174" s="4">
        <f t="shared" si="10"/>
        <v>-0.13879595922262622</v>
      </c>
      <c r="C174" s="4">
        <f t="shared" si="14"/>
        <v>-9.1966386554622748E-3</v>
      </c>
      <c r="D174" s="7">
        <f t="shared" si="9"/>
        <v>3206217.0000000014</v>
      </c>
      <c r="E174" s="2">
        <v>2746245</v>
      </c>
      <c r="F174" s="9">
        <f t="shared" ref="F174" si="15">F173</f>
        <v>459972.00000000134</v>
      </c>
      <c r="G174" s="5">
        <v>6632.19</v>
      </c>
    </row>
    <row r="175" spans="1:7" ht="15.75" thickBot="1" x14ac:dyDescent="0.3">
      <c r="A175" s="1">
        <v>46095</v>
      </c>
      <c r="B175" s="4">
        <f t="shared" si="10"/>
        <v>-0.13880938944336263</v>
      </c>
      <c r="C175" s="4">
        <f t="shared" si="14"/>
        <v>8.4108309990660324E-4</v>
      </c>
      <c r="D175" s="7">
        <f t="shared" si="9"/>
        <v>3206167.0000000014</v>
      </c>
      <c r="E175" s="2">
        <v>2746195</v>
      </c>
      <c r="F175" s="9">
        <f>F174</f>
        <v>459972.00000000134</v>
      </c>
      <c r="G175" s="5">
        <v>6699.38</v>
      </c>
    </row>
    <row r="176" spans="1:7" ht="15.75" thickBot="1" x14ac:dyDescent="0.3">
      <c r="A176" s="1">
        <v>46096</v>
      </c>
      <c r="B176" s="4">
        <f t="shared" ref="B176:B225" si="16">(D176/$D$2)-1</f>
        <v>-0.13861142798970782</v>
      </c>
      <c r="C176" s="4">
        <f t="shared" ref="C176:C225" si="17">(G176/$G$2)-1</f>
        <v>8.4108309990660324E-4</v>
      </c>
      <c r="D176" s="7">
        <f t="shared" ref="D176:D225" si="18">E176+F176</f>
        <v>3206904.0000000014</v>
      </c>
      <c r="E176" s="2">
        <v>2746932</v>
      </c>
      <c r="F176" s="9">
        <f t="shared" ref="F176:F237" si="19">F175</f>
        <v>459972.00000000134</v>
      </c>
      <c r="G176" s="5">
        <v>6699.38</v>
      </c>
    </row>
    <row r="177" spans="1:7" ht="15.75" thickBot="1" x14ac:dyDescent="0.3">
      <c r="A177" s="1">
        <v>46097</v>
      </c>
      <c r="B177" s="4">
        <f t="shared" si="16"/>
        <v>-0.13133063672407874</v>
      </c>
      <c r="C177" s="4">
        <f t="shared" si="17"/>
        <v>8.4108309990660324E-4</v>
      </c>
      <c r="D177" s="7">
        <f t="shared" si="18"/>
        <v>3234010.0000000014</v>
      </c>
      <c r="E177" s="2">
        <v>2774038</v>
      </c>
      <c r="F177" s="9">
        <f t="shared" si="19"/>
        <v>459972.00000000134</v>
      </c>
      <c r="G177" s="5">
        <v>6699.38</v>
      </c>
    </row>
    <row r="178" spans="1:7" ht="15.75" thickBot="1" x14ac:dyDescent="0.3">
      <c r="A178" s="1">
        <v>46098</v>
      </c>
      <c r="B178" s="4">
        <f t="shared" si="16"/>
        <v>-0.12737409369512875</v>
      </c>
      <c r="C178" s="4">
        <f t="shared" si="17"/>
        <v>3.3374416433240572E-3</v>
      </c>
      <c r="D178" s="7">
        <f t="shared" si="18"/>
        <v>3248740.0000000014</v>
      </c>
      <c r="E178" s="2">
        <v>2788768</v>
      </c>
      <c r="F178" s="9">
        <f t="shared" si="19"/>
        <v>459972.00000000134</v>
      </c>
      <c r="G178" s="5">
        <v>6716.09</v>
      </c>
    </row>
    <row r="179" spans="1:7" ht="15.75" thickBot="1" x14ac:dyDescent="0.3">
      <c r="A179" s="1">
        <v>46099</v>
      </c>
      <c r="B179" s="4">
        <f t="shared" si="16"/>
        <v>-0.13913440078518402</v>
      </c>
      <c r="C179" s="4">
        <f t="shared" si="17"/>
        <v>-1.0315592903828219E-2</v>
      </c>
      <c r="D179" s="7">
        <f t="shared" si="18"/>
        <v>3204957.0000000014</v>
      </c>
      <c r="E179" s="2">
        <v>2744985</v>
      </c>
      <c r="F179" s="9">
        <f t="shared" si="19"/>
        <v>459972.00000000134</v>
      </c>
      <c r="G179" s="5">
        <v>6624.7</v>
      </c>
    </row>
    <row r="180" spans="1:7" ht="15.75" thickBot="1" x14ac:dyDescent="0.3">
      <c r="A180" s="1">
        <v>46100</v>
      </c>
      <c r="B180" s="4">
        <f t="shared" si="16"/>
        <v>-0.1485022483532531</v>
      </c>
      <c r="C180" s="4">
        <f t="shared" si="17"/>
        <v>-1.303604108309997E-2</v>
      </c>
      <c r="D180" s="7">
        <f t="shared" si="18"/>
        <v>3170081.0000000014</v>
      </c>
      <c r="E180" s="2">
        <v>2710109</v>
      </c>
      <c r="F180" s="9">
        <f t="shared" si="19"/>
        <v>459972.00000000134</v>
      </c>
      <c r="G180" s="5">
        <v>6606.49</v>
      </c>
    </row>
    <row r="181" spans="1:7" ht="15.75" thickBot="1" x14ac:dyDescent="0.3">
      <c r="A181" s="1">
        <v>46101</v>
      </c>
      <c r="B181" s="4">
        <f t="shared" si="16"/>
        <v>-0.15511797508801461</v>
      </c>
      <c r="C181" s="4">
        <f t="shared" si="17"/>
        <v>-2.7976844070961793E-2</v>
      </c>
      <c r="D181" s="7">
        <f t="shared" si="18"/>
        <v>3145451.0000000014</v>
      </c>
      <c r="E181" s="2">
        <v>2685479</v>
      </c>
      <c r="F181" s="9">
        <f t="shared" si="19"/>
        <v>459972.00000000134</v>
      </c>
      <c r="G181" s="5">
        <v>6506.48</v>
      </c>
    </row>
    <row r="182" spans="1:7" ht="15.75" thickBot="1" x14ac:dyDescent="0.3">
      <c r="A182" s="1">
        <v>46102</v>
      </c>
      <c r="B182" s="4">
        <f t="shared" si="16"/>
        <v>-0.15470862195996848</v>
      </c>
      <c r="C182" s="4">
        <f t="shared" si="17"/>
        <v>-1.6844070961718027E-2</v>
      </c>
      <c r="D182" s="7">
        <f t="shared" si="18"/>
        <v>3146975.0000000014</v>
      </c>
      <c r="E182" s="2">
        <v>2687003</v>
      </c>
      <c r="F182" s="9">
        <f t="shared" si="19"/>
        <v>459972.00000000134</v>
      </c>
      <c r="G182" s="5">
        <v>6581</v>
      </c>
    </row>
    <row r="183" spans="1:7" ht="15.75" thickBot="1" x14ac:dyDescent="0.3">
      <c r="A183" s="1">
        <v>46103</v>
      </c>
      <c r="B183" s="4">
        <f t="shared" si="16"/>
        <v>-0.15555472586636299</v>
      </c>
      <c r="C183" s="4">
        <f t="shared" si="17"/>
        <v>-1.6844070961718027E-2</v>
      </c>
      <c r="D183" s="7">
        <f t="shared" si="18"/>
        <v>3143825.0000000014</v>
      </c>
      <c r="E183" s="2">
        <v>2683853</v>
      </c>
      <c r="F183" s="9">
        <f t="shared" si="19"/>
        <v>459972.00000000134</v>
      </c>
      <c r="G183" s="5">
        <v>6581</v>
      </c>
    </row>
    <row r="184" spans="1:7" ht="15.75" thickBot="1" x14ac:dyDescent="0.3">
      <c r="A184" s="1">
        <v>46104</v>
      </c>
      <c r="B184" s="4">
        <f t="shared" si="16"/>
        <v>-0.15230380663490473</v>
      </c>
      <c r="C184" s="4">
        <f t="shared" si="17"/>
        <v>-1.6844070961718027E-2</v>
      </c>
      <c r="D184" s="7">
        <f t="shared" si="18"/>
        <v>3155928.0000000014</v>
      </c>
      <c r="E184" s="2">
        <v>2695956</v>
      </c>
      <c r="F184" s="9">
        <f t="shared" si="19"/>
        <v>459972.00000000134</v>
      </c>
      <c r="G184" s="5">
        <v>6581</v>
      </c>
    </row>
    <row r="185" spans="1:7" ht="15.75" thickBot="1" x14ac:dyDescent="0.3">
      <c r="A185" s="1">
        <v>46105</v>
      </c>
      <c r="B185" s="4">
        <f t="shared" si="16"/>
        <v>-0.15979115469546001</v>
      </c>
      <c r="C185" s="4">
        <f t="shared" si="17"/>
        <v>-2.0523622782446349E-2</v>
      </c>
      <c r="D185" s="7">
        <f t="shared" si="18"/>
        <v>3128053.0000000014</v>
      </c>
      <c r="E185" s="2">
        <v>2668081</v>
      </c>
      <c r="F185" s="9">
        <f t="shared" si="19"/>
        <v>459972.00000000134</v>
      </c>
      <c r="G185" s="5">
        <v>6556.37</v>
      </c>
    </row>
    <row r="186" spans="1:7" ht="15.75" thickBot="1" x14ac:dyDescent="0.3">
      <c r="A186" s="1">
        <v>46106</v>
      </c>
      <c r="B186" s="4">
        <f t="shared" si="16"/>
        <v>-0.15653808662868385</v>
      </c>
      <c r="C186" s="4">
        <f t="shared" si="17"/>
        <v>-1.5215686274509865E-2</v>
      </c>
      <c r="D186" s="7">
        <f t="shared" si="18"/>
        <v>3140164.0000000014</v>
      </c>
      <c r="E186" s="2">
        <v>2680192</v>
      </c>
      <c r="F186" s="9">
        <f t="shared" si="19"/>
        <v>459972.00000000134</v>
      </c>
      <c r="G186" s="5">
        <v>6591.9</v>
      </c>
    </row>
    <row r="187" spans="1:7" ht="15.75" thickBot="1" x14ac:dyDescent="0.3">
      <c r="A187" s="1">
        <v>46107</v>
      </c>
      <c r="B187" s="4">
        <f t="shared" si="16"/>
        <v>-0.16751299441007317</v>
      </c>
      <c r="C187" s="4">
        <f t="shared" si="17"/>
        <v>-3.2357049486461231E-2</v>
      </c>
      <c r="D187" s="7">
        <f t="shared" si="18"/>
        <v>3099305.0000000014</v>
      </c>
      <c r="E187" s="2">
        <v>2639333</v>
      </c>
      <c r="F187" s="9">
        <f t="shared" si="19"/>
        <v>459972.00000000134</v>
      </c>
      <c r="G187" s="5">
        <v>6477.16</v>
      </c>
    </row>
    <row r="188" spans="1:7" ht="15.75" thickBot="1" x14ac:dyDescent="0.3">
      <c r="A188" s="1">
        <v>46108</v>
      </c>
      <c r="B188" s="4">
        <f t="shared" si="16"/>
        <v>-0.17706403018898698</v>
      </c>
      <c r="C188" s="4">
        <f t="shared" si="17"/>
        <v>-4.8537815126050377E-2</v>
      </c>
      <c r="D188" s="7">
        <f t="shared" si="18"/>
        <v>3063747.0000000014</v>
      </c>
      <c r="E188" s="2">
        <v>2603775</v>
      </c>
      <c r="F188" s="9">
        <f t="shared" si="19"/>
        <v>459972.00000000134</v>
      </c>
      <c r="G188" s="5">
        <v>6368.85</v>
      </c>
    </row>
    <row r="189" spans="1:7" ht="15.75" thickBot="1" x14ac:dyDescent="0.3">
      <c r="A189" s="1">
        <v>46109</v>
      </c>
      <c r="B189" s="4">
        <f t="shared" si="16"/>
        <v>-0.17862274160765612</v>
      </c>
      <c r="C189" s="4">
        <f t="shared" si="17"/>
        <v>-5.2292063492063501E-2</v>
      </c>
      <c r="D189" s="7">
        <f t="shared" si="18"/>
        <v>3057944.0000000014</v>
      </c>
      <c r="E189" s="2">
        <v>2597972</v>
      </c>
      <c r="F189" s="9">
        <f t="shared" si="19"/>
        <v>459972.00000000134</v>
      </c>
      <c r="G189" s="5">
        <v>6343.72</v>
      </c>
    </row>
    <row r="190" spans="1:7" ht="15.75" thickBot="1" x14ac:dyDescent="0.3">
      <c r="A190" s="1">
        <v>46110</v>
      </c>
      <c r="B190" s="4">
        <f t="shared" si="16"/>
        <v>-0.17827489889058279</v>
      </c>
      <c r="C190" s="4">
        <f t="shared" si="17"/>
        <v>-5.2292063492063501E-2</v>
      </c>
      <c r="D190" s="7">
        <f t="shared" si="18"/>
        <v>3059239.0000000014</v>
      </c>
      <c r="E190" s="2">
        <v>2599267</v>
      </c>
      <c r="F190" s="9">
        <f t="shared" si="19"/>
        <v>459972.00000000134</v>
      </c>
      <c r="G190" s="5">
        <v>6343.72</v>
      </c>
    </row>
    <row r="191" spans="1:7" ht="15.75" thickBot="1" x14ac:dyDescent="0.3">
      <c r="A191" s="1">
        <v>46111</v>
      </c>
      <c r="B191" s="4">
        <f t="shared" si="16"/>
        <v>-0.1804941085650692</v>
      </c>
      <c r="C191" s="4">
        <f t="shared" si="17"/>
        <v>-5.2292063492063501E-2</v>
      </c>
      <c r="D191" s="7">
        <f t="shared" si="18"/>
        <v>3050977.0000000014</v>
      </c>
      <c r="E191" s="2">
        <v>2591005</v>
      </c>
      <c r="F191" s="9">
        <f t="shared" si="19"/>
        <v>459972.00000000134</v>
      </c>
      <c r="G191" s="5">
        <v>6343.72</v>
      </c>
    </row>
    <row r="192" spans="1:7" ht="15.75" thickBot="1" x14ac:dyDescent="0.3">
      <c r="A192" s="1">
        <v>46112</v>
      </c>
      <c r="B192" s="4">
        <f t="shared" si="16"/>
        <v>-0.16703326692536813</v>
      </c>
      <c r="C192" s="4">
        <f t="shared" si="17"/>
        <v>-2.468422035480855E-2</v>
      </c>
      <c r="D192" s="7">
        <f t="shared" si="18"/>
        <v>3101091.0000000014</v>
      </c>
      <c r="E192" s="2">
        <v>2641119</v>
      </c>
      <c r="F192" s="9">
        <f t="shared" si="19"/>
        <v>459972.00000000134</v>
      </c>
      <c r="G192" s="5">
        <v>6528.52</v>
      </c>
    </row>
    <row r="193" spans="1:7" ht="15.75" thickBot="1" x14ac:dyDescent="0.3">
      <c r="A193" s="1">
        <v>46113</v>
      </c>
      <c r="B193" s="4">
        <f t="shared" si="16"/>
        <v>-0.18844023296598056</v>
      </c>
      <c r="C193" s="4">
        <f t="shared" si="17"/>
        <v>-1.7692623716153211E-2</v>
      </c>
      <c r="D193" s="7">
        <f t="shared" si="18"/>
        <v>3021394.0000000014</v>
      </c>
      <c r="E193" s="2">
        <v>2561422</v>
      </c>
      <c r="F193" s="9">
        <f t="shared" si="19"/>
        <v>459972.00000000134</v>
      </c>
      <c r="G193" s="5">
        <v>6575.32</v>
      </c>
    </row>
    <row r="194" spans="1:7" ht="15.75" thickBot="1" x14ac:dyDescent="0.3">
      <c r="A194" s="1">
        <v>46114</v>
      </c>
      <c r="B194" s="4">
        <f t="shared" si="16"/>
        <v>-0.1898471828903282</v>
      </c>
      <c r="C194" s="4">
        <f t="shared" si="17"/>
        <v>-1.6591596638655504E-2</v>
      </c>
      <c r="D194" s="7">
        <f t="shared" si="18"/>
        <v>3016156.0000000014</v>
      </c>
      <c r="E194" s="2">
        <v>2556184</v>
      </c>
      <c r="F194" s="9">
        <f t="shared" si="19"/>
        <v>459972.00000000134</v>
      </c>
      <c r="G194" s="5">
        <v>6582.69</v>
      </c>
    </row>
    <row r="195" spans="1:7" ht="15.75" thickBot="1" x14ac:dyDescent="0.3">
      <c r="A195" s="1">
        <v>46115</v>
      </c>
      <c r="B195" s="4">
        <f t="shared" si="16"/>
        <v>-0.19003493737622335</v>
      </c>
      <c r="C195" s="4">
        <f t="shared" si="17"/>
        <v>-1.2238281979458421E-2</v>
      </c>
      <c r="D195" s="7">
        <f t="shared" si="18"/>
        <v>3015457.0000000014</v>
      </c>
      <c r="E195" s="2">
        <v>2555485</v>
      </c>
      <c r="F195" s="9">
        <f t="shared" si="19"/>
        <v>459972.00000000134</v>
      </c>
      <c r="G195" s="5">
        <v>6611.83</v>
      </c>
    </row>
    <row r="196" spans="1:7" ht="15.75" thickBot="1" x14ac:dyDescent="0.3">
      <c r="A196" s="1">
        <v>46116</v>
      </c>
      <c r="B196" s="4">
        <f t="shared" si="16"/>
        <v>-0.18986464217728549</v>
      </c>
      <c r="C196" s="4">
        <f t="shared" si="17"/>
        <v>-1.2238281979458421E-2</v>
      </c>
      <c r="D196" s="7">
        <f t="shared" si="18"/>
        <v>3016091.0000000014</v>
      </c>
      <c r="E196" s="2">
        <v>2556119</v>
      </c>
      <c r="F196" s="9">
        <f t="shared" si="19"/>
        <v>459972.00000000134</v>
      </c>
      <c r="G196" s="5">
        <v>6611.83</v>
      </c>
    </row>
    <row r="197" spans="1:7" ht="15.75" thickBot="1" x14ac:dyDescent="0.3">
      <c r="A197" s="1">
        <v>46117</v>
      </c>
      <c r="B197" s="4">
        <f t="shared" si="16"/>
        <v>-0.18977224225861888</v>
      </c>
      <c r="C197" s="4">
        <f t="shared" si="17"/>
        <v>-1.2238281979458421E-2</v>
      </c>
      <c r="D197" s="7">
        <f t="shared" si="18"/>
        <v>3016435.0000000014</v>
      </c>
      <c r="E197" s="2">
        <v>2556463</v>
      </c>
      <c r="F197" s="9">
        <f t="shared" si="19"/>
        <v>459972.00000000134</v>
      </c>
      <c r="G197" s="5">
        <v>6611.83</v>
      </c>
    </row>
    <row r="198" spans="1:7" ht="15.75" thickBot="1" x14ac:dyDescent="0.3">
      <c r="A198" s="1">
        <v>46118</v>
      </c>
      <c r="B198" s="4">
        <f t="shared" si="16"/>
        <v>-0.18158249365354884</v>
      </c>
      <c r="C198" s="4">
        <f t="shared" si="17"/>
        <v>-1.2238281979458421E-2</v>
      </c>
      <c r="D198" s="7">
        <f t="shared" si="18"/>
        <v>3046925.0000000014</v>
      </c>
      <c r="E198" s="2">
        <v>2586953</v>
      </c>
      <c r="F198" s="9">
        <f t="shared" si="19"/>
        <v>459972.00000000134</v>
      </c>
      <c r="G198" s="5">
        <v>6611.83</v>
      </c>
    </row>
    <row r="199" spans="1:7" ht="15.75" thickBot="1" x14ac:dyDescent="0.3">
      <c r="A199" s="1">
        <v>46119</v>
      </c>
      <c r="B199" s="4">
        <f t="shared" si="16"/>
        <v>-0.17888516812084587</v>
      </c>
      <c r="C199" s="4">
        <f t="shared" si="17"/>
        <v>-1.1488328664799208E-2</v>
      </c>
      <c r="D199" s="7">
        <f t="shared" si="18"/>
        <v>3056967.0000000014</v>
      </c>
      <c r="E199" s="2">
        <v>2596995</v>
      </c>
      <c r="F199" s="9">
        <f t="shared" si="19"/>
        <v>459972.00000000134</v>
      </c>
      <c r="G199" s="5">
        <v>6616.85</v>
      </c>
    </row>
    <row r="200" spans="1:7" ht="15.75" thickBot="1" x14ac:dyDescent="0.3">
      <c r="A200" s="1">
        <v>46120</v>
      </c>
      <c r="B200" s="4">
        <f t="shared" si="16"/>
        <v>-0.17215931357604575</v>
      </c>
      <c r="C200" s="4">
        <f t="shared" si="17"/>
        <v>1.3304948646125192E-2</v>
      </c>
      <c r="D200" s="7">
        <f t="shared" si="18"/>
        <v>3082007.0000000014</v>
      </c>
      <c r="E200" s="2">
        <v>2622035</v>
      </c>
      <c r="F200" s="9">
        <f t="shared" si="19"/>
        <v>459972.00000000134</v>
      </c>
      <c r="G200" s="5">
        <v>6782.81</v>
      </c>
    </row>
    <row r="201" spans="1:7" ht="15.75" thickBot="1" x14ac:dyDescent="0.3">
      <c r="A201" s="1">
        <v>46121</v>
      </c>
      <c r="B201" s="4">
        <f t="shared" si="16"/>
        <v>-0.16564834256302829</v>
      </c>
      <c r="C201" s="4">
        <f t="shared" si="17"/>
        <v>1.9557049486461198E-2</v>
      </c>
      <c r="D201" s="7">
        <f t="shared" si="18"/>
        <v>3106247.0000000014</v>
      </c>
      <c r="E201" s="2">
        <v>2646275</v>
      </c>
      <c r="F201" s="9">
        <f t="shared" si="19"/>
        <v>459972.00000000134</v>
      </c>
      <c r="G201" s="5">
        <v>6824.66</v>
      </c>
    </row>
    <row r="202" spans="1:7" ht="15.75" thickBot="1" x14ac:dyDescent="0.3">
      <c r="A202" s="1">
        <v>46122</v>
      </c>
      <c r="B202" s="4">
        <f t="shared" si="16"/>
        <v>-0.16599752830217529</v>
      </c>
      <c r="C202" s="4">
        <f t="shared" si="17"/>
        <v>1.8396265172735848E-2</v>
      </c>
      <c r="D202" s="7">
        <f t="shared" si="18"/>
        <v>3104947.0000000014</v>
      </c>
      <c r="E202" s="2">
        <v>2644975</v>
      </c>
      <c r="F202" s="9">
        <f t="shared" si="19"/>
        <v>459972.00000000134</v>
      </c>
      <c r="G202" s="5">
        <v>6816.89</v>
      </c>
    </row>
    <row r="203" spans="1:7" ht="15.75" thickBot="1" x14ac:dyDescent="0.3">
      <c r="A203" s="1">
        <v>46123</v>
      </c>
      <c r="B203" s="4">
        <f t="shared" si="16"/>
        <v>-0.1658218610149429</v>
      </c>
      <c r="C203" s="4">
        <f t="shared" si="17"/>
        <v>2.8756676003734771E-2</v>
      </c>
      <c r="D203" s="7">
        <f t="shared" si="18"/>
        <v>3105601.0000000014</v>
      </c>
      <c r="E203" s="2">
        <v>2645629</v>
      </c>
      <c r="F203" s="9">
        <f t="shared" si="19"/>
        <v>459972.00000000134</v>
      </c>
      <c r="G203" s="5">
        <v>6886.24</v>
      </c>
    </row>
    <row r="204" spans="1:7" ht="15.75" thickBot="1" x14ac:dyDescent="0.3">
      <c r="A204" s="1">
        <v>46124</v>
      </c>
      <c r="B204" s="4">
        <f t="shared" si="16"/>
        <v>-0.16668005212000025</v>
      </c>
      <c r="C204" s="4">
        <f t="shared" si="17"/>
        <v>2.8756676003734771E-2</v>
      </c>
      <c r="D204" s="7">
        <f t="shared" si="18"/>
        <v>3102406.0000000014</v>
      </c>
      <c r="E204" s="2">
        <v>2642434</v>
      </c>
      <c r="F204" s="9">
        <f t="shared" si="19"/>
        <v>459972.00000000134</v>
      </c>
      <c r="G204" s="5">
        <v>6886.24</v>
      </c>
    </row>
    <row r="205" spans="1:7" ht="15.75" thickBot="1" x14ac:dyDescent="0.3">
      <c r="A205" s="1">
        <v>46125</v>
      </c>
      <c r="B205" s="4">
        <f t="shared" si="16"/>
        <v>-0.15949139216862307</v>
      </c>
      <c r="C205" s="4">
        <f t="shared" si="17"/>
        <v>2.8756676003734771E-2</v>
      </c>
      <c r="D205" s="7">
        <f t="shared" si="18"/>
        <v>3129169.0000000014</v>
      </c>
      <c r="E205" s="2">
        <v>2669197</v>
      </c>
      <c r="F205" s="9">
        <f t="shared" si="19"/>
        <v>459972.00000000134</v>
      </c>
      <c r="G205" s="5">
        <v>6886.24</v>
      </c>
    </row>
    <row r="206" spans="1:7" ht="15.75" thickBot="1" x14ac:dyDescent="0.3">
      <c r="A206" s="1">
        <v>46126</v>
      </c>
      <c r="B206" s="4">
        <f t="shared" si="16"/>
        <v>-0.15048266870304594</v>
      </c>
      <c r="C206" s="4">
        <f t="shared" si="17"/>
        <v>4.0878431372548985E-2</v>
      </c>
      <c r="D206" s="7">
        <f t="shared" si="18"/>
        <v>3162708.0000000014</v>
      </c>
      <c r="E206" s="2">
        <v>2702736</v>
      </c>
      <c r="F206" s="9">
        <f t="shared" si="19"/>
        <v>459972.00000000134</v>
      </c>
      <c r="G206" s="5">
        <v>6967.38</v>
      </c>
    </row>
    <row r="207" spans="1:7" ht="15.75" thickBot="1" x14ac:dyDescent="0.3">
      <c r="A207" s="1">
        <v>46127</v>
      </c>
      <c r="B207" s="4">
        <f t="shared" si="16"/>
        <v>-0.14342992258552123</v>
      </c>
      <c r="C207" s="4">
        <f t="shared" si="17"/>
        <v>4.9180205415499501E-2</v>
      </c>
      <c r="D207" s="7">
        <f t="shared" si="18"/>
        <v>3188965.0000000014</v>
      </c>
      <c r="E207" s="2">
        <v>2728993</v>
      </c>
      <c r="F207" s="9">
        <f t="shared" si="19"/>
        <v>459972.00000000134</v>
      </c>
      <c r="G207" s="5">
        <v>7022.95</v>
      </c>
    </row>
    <row r="208" spans="1:7" ht="15.75" thickBot="1" x14ac:dyDescent="0.3">
      <c r="A208" s="1">
        <v>46128</v>
      </c>
      <c r="B208" s="4">
        <f t="shared" si="16"/>
        <v>-0.13974278978454402</v>
      </c>
      <c r="C208" s="4">
        <f t="shared" si="17"/>
        <v>5.1918580765639488E-2</v>
      </c>
      <c r="D208" s="7">
        <f t="shared" si="18"/>
        <v>3202692.0000000014</v>
      </c>
      <c r="E208" s="2">
        <v>2742720</v>
      </c>
      <c r="F208" s="9">
        <f t="shared" si="19"/>
        <v>459972.00000000134</v>
      </c>
      <c r="G208" s="5">
        <v>7041.28</v>
      </c>
    </row>
    <row r="209" spans="1:7" ht="15.75" thickBot="1" x14ac:dyDescent="0.3">
      <c r="A209" s="1">
        <v>46129</v>
      </c>
      <c r="B209" s="4">
        <f t="shared" si="16"/>
        <v>-0.12366896439836472</v>
      </c>
      <c r="C209" s="4">
        <f t="shared" si="17"/>
        <v>6.4584126984126966E-2</v>
      </c>
      <c r="D209" s="7">
        <f t="shared" si="18"/>
        <v>3262534.0000000014</v>
      </c>
      <c r="E209" s="2">
        <v>2802562</v>
      </c>
      <c r="F209" s="9">
        <f t="shared" si="19"/>
        <v>459972.00000000134</v>
      </c>
      <c r="G209" s="5">
        <v>7126.06</v>
      </c>
    </row>
    <row r="210" spans="1:7" ht="15.75" thickBot="1" x14ac:dyDescent="0.3">
      <c r="A210" s="1">
        <v>46130</v>
      </c>
      <c r="B210" s="4">
        <f t="shared" si="16"/>
        <v>-0.12369824227957005</v>
      </c>
      <c r="C210" s="4">
        <f t="shared" si="17"/>
        <v>6.2056395891689986E-2</v>
      </c>
      <c r="D210" s="7">
        <f t="shared" si="18"/>
        <v>3262425.0000000014</v>
      </c>
      <c r="E210" s="2">
        <v>2802453</v>
      </c>
      <c r="F210" s="9">
        <f t="shared" si="19"/>
        <v>459972.00000000134</v>
      </c>
      <c r="G210" s="5">
        <v>7109.14</v>
      </c>
    </row>
    <row r="211" spans="1:7" ht="15.75" thickBot="1" x14ac:dyDescent="0.3">
      <c r="A211" s="1">
        <v>46131</v>
      </c>
      <c r="B211" s="4">
        <f t="shared" si="16"/>
        <v>-0.12474633670584045</v>
      </c>
      <c r="C211" s="4">
        <f t="shared" si="17"/>
        <v>6.2056395891689986E-2</v>
      </c>
      <c r="D211" s="7">
        <f t="shared" si="18"/>
        <v>3258523.0000000014</v>
      </c>
      <c r="E211" s="2">
        <v>2798551</v>
      </c>
      <c r="F211" s="9">
        <f t="shared" si="19"/>
        <v>459972.00000000134</v>
      </c>
      <c r="G211" s="5">
        <v>7109.14</v>
      </c>
    </row>
    <row r="212" spans="1:7" ht="15.75" thickBot="1" x14ac:dyDescent="0.3">
      <c r="A212" s="1">
        <v>46132</v>
      </c>
      <c r="B212" s="4">
        <f t="shared" si="16"/>
        <v>-0.12250026658988122</v>
      </c>
      <c r="C212" s="4">
        <f t="shared" si="17"/>
        <v>6.2056395891689986E-2</v>
      </c>
      <c r="D212" s="7">
        <f t="shared" si="18"/>
        <v>3266885.0000000014</v>
      </c>
      <c r="E212" s="2">
        <v>2806913</v>
      </c>
      <c r="F212" s="9">
        <f t="shared" si="19"/>
        <v>459972.00000000134</v>
      </c>
      <c r="G212" s="5">
        <v>7109.14</v>
      </c>
    </row>
    <row r="213" spans="1:7" ht="15.75" thickBot="1" x14ac:dyDescent="0.3">
      <c r="A213" s="1">
        <v>46133</v>
      </c>
      <c r="B213" s="4">
        <f t="shared" si="16"/>
        <v>-0.12447988112642983</v>
      </c>
      <c r="C213" s="4">
        <f t="shared" si="17"/>
        <v>5.5314285714285649E-2</v>
      </c>
      <c r="D213" s="7">
        <f t="shared" si="18"/>
        <v>3259515.0000000014</v>
      </c>
      <c r="E213" s="2">
        <v>2799543</v>
      </c>
      <c r="F213" s="9">
        <f t="shared" si="19"/>
        <v>459972.00000000134</v>
      </c>
      <c r="G213" s="5">
        <v>7064.01</v>
      </c>
    </row>
    <row r="214" spans="1:7" ht="15.75" thickBot="1" x14ac:dyDescent="0.3">
      <c r="A214" s="1">
        <v>46134</v>
      </c>
      <c r="B214" s="4">
        <f t="shared" si="16"/>
        <v>-0.13284986329378279</v>
      </c>
      <c r="C214" s="4">
        <f t="shared" si="17"/>
        <v>6.6352941176470503E-2</v>
      </c>
      <c r="D214" s="7">
        <f t="shared" si="18"/>
        <v>3228354.0000000014</v>
      </c>
      <c r="E214" s="2">
        <v>2768382</v>
      </c>
      <c r="F214" s="9">
        <f t="shared" si="19"/>
        <v>459972.00000000134</v>
      </c>
      <c r="G214" s="5">
        <v>7137.9</v>
      </c>
    </row>
    <row r="215" spans="1:7" ht="15.75" thickBot="1" x14ac:dyDescent="0.3">
      <c r="A215" s="1">
        <v>46135</v>
      </c>
      <c r="B215" s="4">
        <f t="shared" si="16"/>
        <v>-0.14093861663891494</v>
      </c>
      <c r="C215" s="4">
        <f t="shared" si="17"/>
        <v>6.1945845004668376E-2</v>
      </c>
      <c r="D215" s="7">
        <f t="shared" si="18"/>
        <v>3198240.0000000014</v>
      </c>
      <c r="E215" s="2">
        <v>2738268</v>
      </c>
      <c r="F215" s="9">
        <f t="shared" si="19"/>
        <v>459972.00000000134</v>
      </c>
      <c r="G215" s="5">
        <v>7108.4</v>
      </c>
    </row>
    <row r="216" spans="1:7" ht="15.75" thickBot="1" x14ac:dyDescent="0.3">
      <c r="A216" s="1">
        <v>46136</v>
      </c>
      <c r="B216" s="4">
        <f t="shared" si="16"/>
        <v>-0.13841266072280878</v>
      </c>
      <c r="C216" s="4">
        <f t="shared" si="17"/>
        <v>7.0413445378151307E-2</v>
      </c>
      <c r="D216" s="7">
        <f t="shared" si="18"/>
        <v>3207644.0000000014</v>
      </c>
      <c r="E216" s="2">
        <v>2747672</v>
      </c>
      <c r="F216" s="9">
        <f t="shared" si="19"/>
        <v>459972.00000000134</v>
      </c>
      <c r="G216" s="5">
        <v>7165.08</v>
      </c>
    </row>
    <row r="217" spans="1:7" ht="15.75" thickBot="1" x14ac:dyDescent="0.3">
      <c r="A217" s="1">
        <v>46137</v>
      </c>
      <c r="B217" s="4">
        <f t="shared" si="16"/>
        <v>-0.13844301302167306</v>
      </c>
      <c r="C217" s="4">
        <f t="shared" si="17"/>
        <v>7.173258636788038E-2</v>
      </c>
      <c r="D217" s="7">
        <f t="shared" si="18"/>
        <v>3207531.0000000014</v>
      </c>
      <c r="E217" s="2">
        <v>2747559</v>
      </c>
      <c r="F217" s="9">
        <f t="shared" si="19"/>
        <v>459972.00000000134</v>
      </c>
      <c r="G217" s="5">
        <v>7173.91</v>
      </c>
    </row>
    <row r="218" spans="1:7" ht="15.75" thickBot="1" x14ac:dyDescent="0.3">
      <c r="A218" s="1">
        <v>46138</v>
      </c>
      <c r="B218" s="4">
        <f t="shared" si="16"/>
        <v>-0.13810269122821206</v>
      </c>
      <c r="C218" s="4">
        <f t="shared" si="17"/>
        <v>7.173258636788038E-2</v>
      </c>
      <c r="D218" s="7">
        <f t="shared" si="18"/>
        <v>3208798.0000000014</v>
      </c>
      <c r="E218" s="2">
        <v>2748826</v>
      </c>
      <c r="F218" s="9">
        <f t="shared" si="19"/>
        <v>459972.00000000134</v>
      </c>
      <c r="G218" s="5">
        <v>7173.91</v>
      </c>
    </row>
    <row r="219" spans="1:7" ht="15.75" thickBot="1" x14ac:dyDescent="0.3">
      <c r="A219" s="1">
        <v>46139</v>
      </c>
      <c r="B219" s="4">
        <f t="shared" si="16"/>
        <v>-0.13997647562535775</v>
      </c>
      <c r="C219" s="4">
        <f t="shared" si="17"/>
        <v>7.173258636788038E-2</v>
      </c>
      <c r="D219" s="7">
        <f t="shared" si="18"/>
        <v>3201822.0000000014</v>
      </c>
      <c r="E219" s="2">
        <v>2741850</v>
      </c>
      <c r="F219" s="9">
        <f t="shared" si="19"/>
        <v>459972.00000000134</v>
      </c>
      <c r="G219" s="5">
        <v>7173.91</v>
      </c>
    </row>
    <row r="220" spans="1:7" ht="15.75" thickBot="1" x14ac:dyDescent="0.3">
      <c r="A220" s="1">
        <v>46140</v>
      </c>
      <c r="B220" s="4">
        <f t="shared" si="16"/>
        <v>-0.14030551603340002</v>
      </c>
      <c r="C220" s="4">
        <f t="shared" si="17"/>
        <v>6.648739495798317E-2</v>
      </c>
      <c r="D220" s="7">
        <f t="shared" si="18"/>
        <v>3200597.0000000014</v>
      </c>
      <c r="E220" s="2">
        <v>2740625</v>
      </c>
      <c r="F220" s="9">
        <f t="shared" si="19"/>
        <v>459972.00000000134</v>
      </c>
      <c r="G220" s="5">
        <v>7138.8</v>
      </c>
    </row>
    <row r="221" spans="1:7" ht="15.75" thickBot="1" x14ac:dyDescent="0.3">
      <c r="A221" s="1">
        <v>46141</v>
      </c>
      <c r="B221" s="4">
        <f t="shared" si="16"/>
        <v>-0.14558493580488752</v>
      </c>
      <c r="C221" s="4">
        <f t="shared" si="17"/>
        <v>6.6061624649859985E-2</v>
      </c>
      <c r="D221" s="7">
        <f t="shared" si="18"/>
        <v>3180942.0000000014</v>
      </c>
      <c r="E221" s="2">
        <v>2720970</v>
      </c>
      <c r="F221" s="9">
        <f t="shared" si="19"/>
        <v>459972.00000000134</v>
      </c>
      <c r="G221" s="5">
        <v>7135.95</v>
      </c>
    </row>
    <row r="222" spans="1:7" ht="15.75" thickBot="1" x14ac:dyDescent="0.3">
      <c r="A222" s="1">
        <v>46142</v>
      </c>
      <c r="B222" s="4">
        <f t="shared" si="16"/>
        <v>-0.1304818467735368</v>
      </c>
      <c r="C222" s="4">
        <f t="shared" si="17"/>
        <v>7.6976283846872162E-2</v>
      </c>
      <c r="D222" s="7">
        <f t="shared" si="18"/>
        <v>3237170.0000000014</v>
      </c>
      <c r="E222" s="2">
        <v>2777198</v>
      </c>
      <c r="F222" s="9">
        <f t="shared" si="19"/>
        <v>459972.00000000134</v>
      </c>
      <c r="G222" s="5">
        <v>7209.01</v>
      </c>
    </row>
    <row r="223" spans="1:7" ht="15.75" thickBot="1" x14ac:dyDescent="0.3">
      <c r="A223" s="1">
        <v>46143</v>
      </c>
      <c r="B223" s="4">
        <f t="shared" si="16"/>
        <v>-0.1304818467735368</v>
      </c>
      <c r="C223" s="4">
        <f t="shared" si="17"/>
        <v>8.0129971988795567E-2</v>
      </c>
      <c r="D223" s="7">
        <f t="shared" si="18"/>
        <v>3237170.0000000014</v>
      </c>
      <c r="E223" s="2">
        <v>2777198</v>
      </c>
      <c r="F223" s="9">
        <f t="shared" si="19"/>
        <v>459972.00000000134</v>
      </c>
      <c r="G223" s="5">
        <v>7230.12</v>
      </c>
    </row>
    <row r="224" spans="1:7" ht="15.75" thickBot="1" x14ac:dyDescent="0.3">
      <c r="A224" s="1">
        <v>46144</v>
      </c>
      <c r="B224" s="4">
        <f t="shared" si="16"/>
        <v>-0.1304818467735368</v>
      </c>
      <c r="C224" s="4">
        <f t="shared" si="17"/>
        <v>8.0129971988795567E-2</v>
      </c>
      <c r="D224" s="7">
        <f t="shared" si="18"/>
        <v>3237170.0000000014</v>
      </c>
      <c r="E224" s="2">
        <v>2777198</v>
      </c>
      <c r="F224" s="9">
        <f t="shared" si="19"/>
        <v>459972.00000000134</v>
      </c>
      <c r="G224" s="5">
        <v>7230.12</v>
      </c>
    </row>
    <row r="225" spans="1:7" ht="15.75" thickBot="1" x14ac:dyDescent="0.3">
      <c r="A225" s="1">
        <v>46145</v>
      </c>
      <c r="B225" s="4">
        <f t="shared" si="16"/>
        <v>-0.1304818467735368</v>
      </c>
      <c r="C225" s="4">
        <f t="shared" si="17"/>
        <v>8.0129971988795567E-2</v>
      </c>
      <c r="D225" s="7">
        <f t="shared" si="18"/>
        <v>3237170.0000000014</v>
      </c>
      <c r="E225" s="2">
        <v>2777198</v>
      </c>
      <c r="F225" s="9">
        <f t="shared" si="19"/>
        <v>459972.00000000134</v>
      </c>
      <c r="G225" s="5">
        <v>7230.12</v>
      </c>
    </row>
    <row r="226" spans="1:7" ht="15.75" thickBot="1" x14ac:dyDescent="0.3">
      <c r="A226" s="1">
        <v>46146</v>
      </c>
      <c r="B226" s="4">
        <f t="shared" ref="B226:B237" si="20">(D226/$D$2)-1</f>
        <v>-0.12928829231251437</v>
      </c>
      <c r="C226" s="4">
        <f t="shared" ref="C226:C237" si="21">(G226/$G$2)-1</f>
        <v>7.5742296918767549E-2</v>
      </c>
      <c r="D226" s="7">
        <f t="shared" ref="D226:D237" si="22">E226+F226</f>
        <v>3241613.5400000014</v>
      </c>
      <c r="E226">
        <v>2781641.54</v>
      </c>
      <c r="F226" s="9">
        <f t="shared" si="19"/>
        <v>459972.00000000134</v>
      </c>
      <c r="G226" s="5">
        <v>7200.75</v>
      </c>
    </row>
    <row r="227" spans="1:7" ht="15.75" thickBot="1" x14ac:dyDescent="0.3">
      <c r="A227" s="1">
        <v>46147</v>
      </c>
      <c r="B227" s="4">
        <f t="shared" si="20"/>
        <v>-0.12809473785149195</v>
      </c>
      <c r="C227" s="4">
        <f t="shared" si="21"/>
        <v>8.447731092436972E-2</v>
      </c>
      <c r="D227" s="7">
        <f t="shared" si="22"/>
        <v>3246057.0800000015</v>
      </c>
      <c r="E227">
        <v>2786085.08</v>
      </c>
      <c r="F227" s="9">
        <f t="shared" si="19"/>
        <v>459972.00000000134</v>
      </c>
      <c r="G227" s="5">
        <v>7259.22</v>
      </c>
    </row>
    <row r="228" spans="1:7" ht="15.75" thickBot="1" x14ac:dyDescent="0.3">
      <c r="A228" s="1">
        <v>46148</v>
      </c>
      <c r="B228" s="4">
        <f t="shared" si="20"/>
        <v>-0.12690118339046952</v>
      </c>
      <c r="C228" s="4">
        <f t="shared" si="21"/>
        <v>0.10029803921568625</v>
      </c>
      <c r="D228" s="7">
        <f t="shared" si="22"/>
        <v>3250500.6200000015</v>
      </c>
      <c r="E228">
        <v>2790528.62</v>
      </c>
      <c r="F228" s="9">
        <f t="shared" si="19"/>
        <v>459972.00000000134</v>
      </c>
      <c r="G228" s="5">
        <v>7365.12</v>
      </c>
    </row>
    <row r="229" spans="1:7" ht="15.75" thickBot="1" x14ac:dyDescent="0.3">
      <c r="A229" s="1">
        <v>46149</v>
      </c>
      <c r="B229" s="4">
        <f t="shared" si="20"/>
        <v>-0.12570763161549137</v>
      </c>
      <c r="C229" s="4">
        <f t="shared" si="21"/>
        <v>9.6113538748832772E-2</v>
      </c>
      <c r="D229" s="7">
        <f t="shared" si="22"/>
        <v>3254944.1500000013</v>
      </c>
      <c r="E229">
        <v>2794972.15</v>
      </c>
      <c r="F229" s="9">
        <f t="shared" si="19"/>
        <v>459972.00000000134</v>
      </c>
      <c r="G229" s="5">
        <v>7337.11</v>
      </c>
    </row>
    <row r="230" spans="1:7" ht="15.75" thickBot="1" x14ac:dyDescent="0.3">
      <c r="A230" s="1">
        <v>46150</v>
      </c>
      <c r="B230" s="4">
        <f t="shared" si="20"/>
        <v>-0.12451407715446894</v>
      </c>
      <c r="C230" s="4">
        <f t="shared" si="21"/>
        <v>0.10534901960784326</v>
      </c>
      <c r="D230" s="7">
        <f t="shared" si="22"/>
        <v>3259387.6900000013</v>
      </c>
      <c r="E230">
        <v>2799415.69</v>
      </c>
      <c r="F230" s="9">
        <f t="shared" si="19"/>
        <v>459972.00000000134</v>
      </c>
      <c r="G230" s="5">
        <v>7398.93</v>
      </c>
    </row>
    <row r="231" spans="1:7" ht="15.75" thickBot="1" x14ac:dyDescent="0.3">
      <c r="A231" s="1">
        <v>46151</v>
      </c>
      <c r="B231" s="4">
        <f t="shared" si="20"/>
        <v>-0.12332052269344651</v>
      </c>
      <c r="C231" s="4">
        <f t="shared" si="21"/>
        <v>0.10742707749766578</v>
      </c>
      <c r="D231" s="7">
        <f t="shared" si="22"/>
        <v>3263831.2300000014</v>
      </c>
      <c r="E231">
        <v>2803859.23</v>
      </c>
      <c r="F231" s="9">
        <f t="shared" si="19"/>
        <v>459972.00000000134</v>
      </c>
      <c r="G231" s="5">
        <v>7412.84</v>
      </c>
    </row>
    <row r="232" spans="1:7" ht="15.75" thickBot="1" x14ac:dyDescent="0.3">
      <c r="A232" s="1">
        <v>46152</v>
      </c>
      <c r="B232" s="4">
        <f t="shared" si="20"/>
        <v>-0.12212696823242408</v>
      </c>
      <c r="C232" s="4">
        <f t="shared" si="21"/>
        <v>0.10742707749766578</v>
      </c>
      <c r="D232" s="7">
        <f t="shared" si="22"/>
        <v>3268274.7700000014</v>
      </c>
      <c r="E232">
        <v>2808302.77</v>
      </c>
      <c r="F232" s="9">
        <f t="shared" si="19"/>
        <v>459972.00000000134</v>
      </c>
      <c r="G232" s="5">
        <v>7412.84</v>
      </c>
    </row>
    <row r="233" spans="1:7" ht="15.75" thickBot="1" x14ac:dyDescent="0.3">
      <c r="A233" s="1">
        <v>46153</v>
      </c>
      <c r="B233" s="4">
        <f t="shared" si="20"/>
        <v>-0.12093341377140165</v>
      </c>
      <c r="C233" s="4">
        <f t="shared" si="21"/>
        <v>0.10742707749766578</v>
      </c>
      <c r="D233" s="7">
        <f t="shared" si="22"/>
        <v>3272718.3100000015</v>
      </c>
      <c r="E233">
        <v>2812746.31</v>
      </c>
      <c r="F233" s="9">
        <f t="shared" si="19"/>
        <v>459972.00000000134</v>
      </c>
      <c r="G233" s="5">
        <v>7412.84</v>
      </c>
    </row>
    <row r="234" spans="1:7" ht="15.75" thickBot="1" x14ac:dyDescent="0.3">
      <c r="A234" s="1">
        <v>46154</v>
      </c>
      <c r="B234" s="4">
        <f t="shared" si="20"/>
        <v>-0.11973985931037923</v>
      </c>
      <c r="C234" s="4">
        <f t="shared" si="21"/>
        <v>0.10565228758169942</v>
      </c>
      <c r="D234" s="7">
        <f t="shared" si="22"/>
        <v>3277161.8500000015</v>
      </c>
      <c r="E234">
        <v>2817189.85</v>
      </c>
      <c r="F234" s="9">
        <f t="shared" si="19"/>
        <v>459972.00000000134</v>
      </c>
      <c r="G234" s="5">
        <v>7400.96</v>
      </c>
    </row>
    <row r="235" spans="1:7" ht="15.75" thickBot="1" x14ac:dyDescent="0.3">
      <c r="A235" s="1">
        <v>46155</v>
      </c>
      <c r="B235" s="4">
        <f t="shared" si="20"/>
        <v>-0.11854630753540107</v>
      </c>
      <c r="C235" s="4">
        <f t="shared" si="21"/>
        <v>0.11211951447245561</v>
      </c>
      <c r="D235" s="7">
        <f t="shared" si="22"/>
        <v>3281605.3800000013</v>
      </c>
      <c r="E235">
        <v>2821633.38</v>
      </c>
      <c r="F235" s="9">
        <f t="shared" si="19"/>
        <v>459972.00000000134</v>
      </c>
      <c r="G235" s="5">
        <v>7444.25</v>
      </c>
    </row>
    <row r="236" spans="1:7" ht="15.75" thickBot="1" x14ac:dyDescent="0.3">
      <c r="A236" s="1">
        <v>46156</v>
      </c>
      <c r="B236" s="4">
        <f t="shared" si="20"/>
        <v>-0.11735275307437865</v>
      </c>
      <c r="C236" s="4">
        <f t="shared" si="21"/>
        <v>0.120633426704015</v>
      </c>
      <c r="D236" s="7">
        <f t="shared" si="22"/>
        <v>3286048.9200000013</v>
      </c>
      <c r="E236">
        <v>2826076.92</v>
      </c>
      <c r="F236" s="9">
        <f t="shared" si="19"/>
        <v>459972.00000000134</v>
      </c>
      <c r="G236" s="5">
        <v>7501.24</v>
      </c>
    </row>
    <row r="237" spans="1:7" ht="15.75" thickBot="1" x14ac:dyDescent="0.3">
      <c r="A237" s="1">
        <v>46157</v>
      </c>
      <c r="B237" s="4">
        <f t="shared" si="20"/>
        <v>-0.11615919861335622</v>
      </c>
      <c r="C237" s="4">
        <f t="shared" si="21"/>
        <v>0.120633426704015</v>
      </c>
      <c r="D237" s="7">
        <f t="shared" si="22"/>
        <v>3290492.4600000014</v>
      </c>
      <c r="E237">
        <v>2830520.46</v>
      </c>
      <c r="F237" s="9">
        <f t="shared" si="19"/>
        <v>459972.00000000134</v>
      </c>
      <c r="G237" s="5">
        <v>7501.24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Yeung Long Fung Jeffrey</cp:lastModifiedBy>
  <dcterms:created xsi:type="dcterms:W3CDTF">2015-06-05T18:17:20Z</dcterms:created>
  <dcterms:modified xsi:type="dcterms:W3CDTF">2026-05-15T07:38:38Z</dcterms:modified>
</cp:coreProperties>
</file>